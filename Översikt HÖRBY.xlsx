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46321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46321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46321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46321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46321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46321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16520-2026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46112</v>
      </c>
      <c r="E8" s="1" t="n">
        <v>46321</v>
      </c>
      <c r="F8" t="inlineStr">
        <is>
          <t>SKÅNE LÄN</t>
        </is>
      </c>
      <c r="G8" t="inlineStr">
        <is>
          <t>HÖRBY</t>
        </is>
      </c>
      <c r="I8" t="n">
        <v>2.3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Slåttergubbe
Sydlig sotticka
Älg
Fiskgjuse
Större brunfladdermus</t>
        </is>
      </c>
      <c r="W8">
        <f>HYPERLINK("https://klasma.github.io/Logging_1266/artfynd/A 16520-2026 artfynd.xlsx", "A 16520-2026")</f>
        <v/>
      </c>
      <c r="X8">
        <f>HYPERLINK("https://klasma.github.io/Logging_1266/kartor/A 16520-2026 karta.png", "A 16520-2026")</f>
        <v/>
      </c>
      <c r="Y8">
        <f>HYPERLINK("https://klasma.github.io/Logging_1266/kartor_geotiff/A 16520-2026 georefererad karta.tif", "A 16520-2026")</f>
        <v/>
      </c>
      <c r="AA8">
        <f>HYPERLINK("https://klasma.github.io/Logging_1266/klagomål/A 16520-2026 FSC-klagomål.docx", "A 16520-2026")</f>
        <v/>
      </c>
      <c r="AB8">
        <f>HYPERLINK("https://klasma.github.io/Logging_1266/klagomålsmail/A 16520-2026 FSC-klagomål mail.docx", "A 16520-2026")</f>
        <v/>
      </c>
      <c r="AC8">
        <f>HYPERLINK("https://klasma.github.io/Logging_1266/tillsyn/A 16520-2026 tillsynsbegäran.docx", "A 16520-2026")</f>
        <v/>
      </c>
      <c r="AD8">
        <f>HYPERLINK("https://klasma.github.io/Logging_1266/tillsynsmail/A 16520-2026 tillsynsbegäran mail.docx", "A 16520-2026")</f>
        <v/>
      </c>
      <c r="AE8">
        <f>HYPERLINK("https://klasma.github.io/Logging_1266/fåglar/A 16520-2026 prioriterade fågelarter.docx", "A 16520-2026")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46321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46321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t="n">
        <v>0</v>
      </c>
      <c r="V10" s="2" t="inlineStr">
        <is>
          <t>Naverlönn
Ask
Skogsalm
Scharlakansskål
Stor häxört</t>
        </is>
      </c>
      <c r="W10">
        <f>HYPERLINK("https://klasma.github.io/Logging_1266/artfynd/A 20194-2024 artfynd.xlsx", "A 20194-2024")</f>
        <v/>
      </c>
      <c r="X10">
        <f>HYPERLINK("https://klasma.github.io/Logging_1266/kartor/A 20194-2024 karta.png", "A 20194-2024")</f>
        <v/>
      </c>
      <c r="Y10">
        <f>HYPERLINK("https://klasma.github.io/Logging_1266/kartor_geotiff/A 20194-2024 georefererad karta.tif", "A 20194-2024")</f>
        <v/>
      </c>
      <c r="AA10">
        <f>HYPERLINK("https://klasma.github.io/Logging_1266/klagomål/A 20194-2024 FSC-klagomål.docx", "A 20194-2024")</f>
        <v/>
      </c>
      <c r="AB10">
        <f>HYPERLINK("https://klasma.github.io/Logging_1266/klagomålsmail/A 20194-2024 FSC-klagomål mail.docx", "A 20194-2024")</f>
        <v/>
      </c>
      <c r="AC10">
        <f>HYPERLINK("https://klasma.github.io/Logging_1266/tillsyn/A 20194-2024 tillsynsbegäran.docx", "A 20194-2024")</f>
        <v/>
      </c>
      <c r="AD10">
        <f>HYPERLINK("https://klasma.github.io/Logging_1266/tillsynsmail/A 20194-2024 tillsynsbegäran mail.docx", "A 20194-2024")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46321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1</v>
      </c>
      <c r="V11" s="2" t="inlineStr">
        <is>
          <t>Ask
Skogsknipprot
Blåsippa
Fläcknycklar
Grönvit nattviol</t>
        </is>
      </c>
      <c r="W11">
        <f>HYPERLINK("https://klasma.github.io/Logging_1266/artfynd/A 39855-2022 artfynd.xlsx", "A 39855-2022")</f>
        <v/>
      </c>
      <c r="X11">
        <f>HYPERLINK("https://klasma.github.io/Logging_1266/kartor/A 39855-2022 karta.png", "A 39855-2022")</f>
        <v/>
      </c>
      <c r="Y11">
        <f>HYPERLINK("https://klasma.github.io/Logging_1266/kartor_geotiff/A 39855-2022 georefererad karta.tif", "A 39855-2022")</f>
        <v/>
      </c>
      <c r="AA11">
        <f>HYPERLINK("https://klasma.github.io/Logging_1266/klagomål/A 39855-2022 FSC-klagomål.docx", "A 39855-2022")</f>
        <v/>
      </c>
      <c r="AB11">
        <f>HYPERLINK("https://klasma.github.io/Logging_1266/klagomålsmail/A 39855-2022 FSC-klagomål mail.docx", "A 39855-2022")</f>
        <v/>
      </c>
      <c r="AC11">
        <f>HYPERLINK("https://klasma.github.io/Logging_1266/tillsyn/A 39855-2022 tillsynsbegäran.docx", "A 39855-2022")</f>
        <v/>
      </c>
      <c r="AD11">
        <f>HYPERLINK("https://klasma.github.io/Logging_1266/tillsynsmail/A 39855-2022 tillsynsbegäran mail.docx", "A 39855-2022")</f>
        <v/>
      </c>
    </row>
    <row r="12" ht="15" customHeight="1">
      <c r="A12" t="inlineStr">
        <is>
          <t>A 38084-2024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45545</v>
      </c>
      <c r="E12" s="1" t="n">
        <v>46321</v>
      </c>
      <c r="F12" t="inlineStr">
        <is>
          <t>SKÅNE LÄN</t>
        </is>
      </c>
      <c r="G12" t="inlineStr">
        <is>
          <t>HÖRBY</t>
        </is>
      </c>
      <c r="I12" t="n">
        <v>0.5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Myskmadra
Skogsbräsma
Tandrot
Grönsiska</t>
        </is>
      </c>
      <c r="W12">
        <f>HYPERLINK("https://klasma.github.io/Logging_1266/artfynd/A 38084-2024 artfynd.xlsx", "A 38084-2024")</f>
        <v/>
      </c>
      <c r="X12">
        <f>HYPERLINK("https://klasma.github.io/Logging_1266/kartor/A 38084-2024 karta.png", "A 38084-2024")</f>
        <v/>
      </c>
      <c r="Y12">
        <f>HYPERLINK("https://klasma.github.io/Logging_1266/kartor_geotiff/A 38084-2024 georefererad karta.tif", "A 38084-2024")</f>
        <v/>
      </c>
      <c r="AA12">
        <f>HYPERLINK("https://klasma.github.io/Logging_1266/klagomål/A 38084-2024 FSC-klagomål.docx", "A 38084-2024")</f>
        <v/>
      </c>
      <c r="AB12">
        <f>HYPERLINK("https://klasma.github.io/Logging_1266/klagomålsmail/A 38084-2024 FSC-klagomål mail.docx", "A 38084-2024")</f>
        <v/>
      </c>
      <c r="AC12">
        <f>HYPERLINK("https://klasma.github.io/Logging_1266/tillsyn/A 38084-2024 tillsynsbegäran.docx", "A 38084-2024")</f>
        <v/>
      </c>
      <c r="AD12">
        <f>HYPERLINK("https://klasma.github.io/Logging_1266/tillsynsmail/A 38084-2024 tillsynsbegäran mail.docx", "A 38084-2024")</f>
        <v/>
      </c>
    </row>
    <row r="13" ht="15" customHeight="1">
      <c r="A13" t="inlineStr">
        <is>
          <t>A 5619-2024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45334</v>
      </c>
      <c r="E13" s="1" t="n">
        <v>46321</v>
      </c>
      <c r="F13" t="inlineStr">
        <is>
          <t>SKÅNE LÄN</t>
        </is>
      </c>
      <c r="G13" t="inlineStr">
        <is>
          <t>HÖRBY</t>
        </is>
      </c>
      <c r="I13" t="n">
        <v>4.6</v>
      </c>
      <c r="J13" t="n">
        <v>0</v>
      </c>
      <c r="K13" t="n">
        <v>1</v>
      </c>
      <c r="L13" t="n">
        <v>1</v>
      </c>
      <c r="M13" t="n">
        <v>0</v>
      </c>
      <c r="N13" t="n">
        <v>2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7</v>
      </c>
      <c r="U13" t="n">
        <v>0</v>
      </c>
      <c r="V13" s="2" t="inlineStr">
        <is>
          <t>Ask
Skogsalm
Gullpudra
Trubbfjädermossa</t>
        </is>
      </c>
      <c r="W13">
        <f>HYPERLINK("https://klasma.github.io/Logging_1266/artfynd/A 5619-2024 artfynd.xlsx", "A 5619-2024")</f>
        <v/>
      </c>
      <c r="X13">
        <f>HYPERLINK("https://klasma.github.io/Logging_1266/kartor/A 5619-2024 karta.png", "A 5619-2024")</f>
        <v/>
      </c>
      <c r="Y13">
        <f>HYPERLINK("https://klasma.github.io/Logging_1266/kartor_geotiff/A 5619-2024 georefererad karta.tif", "A 5619-2024")</f>
        <v/>
      </c>
      <c r="AA13">
        <f>HYPERLINK("https://klasma.github.io/Logging_1266/klagomål/A 5619-2024 FSC-klagomål.docx", "A 5619-2024")</f>
        <v/>
      </c>
      <c r="AB13">
        <f>HYPERLINK("https://klasma.github.io/Logging_1266/klagomålsmail/A 5619-2024 FSC-klagomål mail.docx", "A 5619-2024")</f>
        <v/>
      </c>
      <c r="AC13">
        <f>HYPERLINK("https://klasma.github.io/Logging_1266/tillsyn/A 5619-2024 tillsynsbegäran.docx", "A 5619-2024")</f>
        <v/>
      </c>
      <c r="AD13">
        <f>HYPERLINK("https://klasma.github.io/Logging_1266/tillsynsmail/A 5619-2024 tillsynsbegäran mail.docx", "A 5619-2024")</f>
        <v/>
      </c>
    </row>
    <row r="14" ht="15" customHeight="1">
      <c r="A14" t="inlineStr">
        <is>
          <t>A 21774-2026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46321</v>
      </c>
      <c r="F14" t="inlineStr">
        <is>
          <t>SKÅNE LÄN</t>
        </is>
      </c>
      <c r="G14" t="inlineStr">
        <is>
          <t>HÖRBY</t>
        </is>
      </c>
      <c r="I14" t="n">
        <v>1.2</v>
      </c>
      <c r="J14" t="n">
        <v>0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Violettkantad guldvinge
Granspira
Sotnätfjäril
Svinrot</t>
        </is>
      </c>
      <c r="W14">
        <f>HYPERLINK("https://klasma.github.io/Logging_1266/artfynd/A 21774-2026 artfynd.xlsx", "A 21774-2026")</f>
        <v/>
      </c>
      <c r="X14">
        <f>HYPERLINK("https://klasma.github.io/Logging_1266/kartor/A 21774-2026 karta.png", "A 21774-2026")</f>
        <v/>
      </c>
      <c r="Y14">
        <f>HYPERLINK("https://klasma.github.io/Logging_1266/kartor_geotiff/A 21774-2026 georefererad karta.tif", "A 21774-2026")</f>
        <v/>
      </c>
      <c r="AA14">
        <f>HYPERLINK("https://klasma.github.io/Logging_1266/klagomål/A 21774-2026 FSC-klagomål.docx", "A 21774-2026")</f>
        <v/>
      </c>
      <c r="AB14">
        <f>HYPERLINK("https://klasma.github.io/Logging_1266/klagomålsmail/A 21774-2026 FSC-klagomål mail.docx", "A 21774-2026")</f>
        <v/>
      </c>
      <c r="AC14">
        <f>HYPERLINK("https://klasma.github.io/Logging_1266/tillsyn/A 21774-2026 tillsynsbegäran.docx", "A 21774-2026")</f>
        <v/>
      </c>
      <c r="AD14">
        <f>HYPERLINK("https://klasma.github.io/Logging_1266/tillsynsmail/A 21774-2026 tillsynsbegäran mail.docx", "A 21774-2026")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46321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46321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46321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2823-2025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45677</v>
      </c>
      <c r="E18" s="1" t="n">
        <v>46321</v>
      </c>
      <c r="F18" t="inlineStr">
        <is>
          <t>SKÅNE LÄN</t>
        </is>
      </c>
      <c r="G18" t="inlineStr">
        <is>
          <t>HÖRBY</t>
        </is>
      </c>
      <c r="I18" t="n">
        <v>21.1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Borsttåg
Grönvit nattviol
Revlummer</t>
        </is>
      </c>
      <c r="W18">
        <f>HYPERLINK("https://klasma.github.io/Logging_1266/artfynd/A 2823-2025 artfynd.xlsx", "A 2823-2025")</f>
        <v/>
      </c>
      <c r="X18">
        <f>HYPERLINK("https://klasma.github.io/Logging_1266/kartor/A 2823-2025 karta.png", "A 2823-2025")</f>
        <v/>
      </c>
      <c r="Y18">
        <f>HYPERLINK("https://klasma.github.io/Logging_1266/kartor_geotiff/A 2823-2025 georefererad karta.tif", "A 2823-2025")</f>
        <v/>
      </c>
      <c r="AA18">
        <f>HYPERLINK("https://klasma.github.io/Logging_1266/klagomål/A 2823-2025 FSC-klagomål.docx", "A 2823-2025")</f>
        <v/>
      </c>
      <c r="AB18">
        <f>HYPERLINK("https://klasma.github.io/Logging_1266/klagomålsmail/A 2823-2025 FSC-klagomål mail.docx", "A 2823-2025")</f>
        <v/>
      </c>
      <c r="AC18">
        <f>HYPERLINK("https://klasma.github.io/Logging_1266/tillsyn/A 2823-2025 tillsynsbegäran.docx", "A 2823-2025")</f>
        <v/>
      </c>
      <c r="AD18">
        <f>HYPERLINK("https://klasma.github.io/Logging_1266/tillsynsmail/A 2823-2025 tillsynsbegäran mail.docx", "A 2823-2025")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46321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42724-2023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45176</v>
      </c>
      <c r="E20" s="1" t="n">
        <v>46321</v>
      </c>
      <c r="F20" t="inlineStr">
        <is>
          <t>SKÅNE LÄN</t>
        </is>
      </c>
      <c r="G20" t="inlineStr">
        <is>
          <t>HÖRBY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Grönvit nattviol</t>
        </is>
      </c>
      <c r="W20">
        <f>HYPERLINK("https://klasma.github.io/Logging_1266/artfynd/A 42724-2023 artfynd.xlsx", "A 42724-2023")</f>
        <v/>
      </c>
      <c r="X20">
        <f>HYPERLINK("https://klasma.github.io/Logging_1266/kartor/A 42724-2023 karta.png", "A 42724-2023")</f>
        <v/>
      </c>
      <c r="Y20">
        <f>HYPERLINK("https://klasma.github.io/Logging_1266/kartor_geotiff/A 42724-2023 georefererad karta.tif", "A 42724-2023")</f>
        <v/>
      </c>
      <c r="AA20">
        <f>HYPERLINK("https://klasma.github.io/Logging_1266/klagomål/A 42724-2023 FSC-klagomål.docx", "A 42724-2023")</f>
        <v/>
      </c>
      <c r="AB20">
        <f>HYPERLINK("https://klasma.github.io/Logging_1266/klagomålsmail/A 42724-2023 FSC-klagomål mail.docx", "A 42724-2023")</f>
        <v/>
      </c>
      <c r="AC20">
        <f>HYPERLINK("https://klasma.github.io/Logging_1266/tillsyn/A 42724-2023 tillsynsbegäran.docx", "A 42724-2023")</f>
        <v/>
      </c>
      <c r="AD20">
        <f>HYPERLINK("https://klasma.github.io/Logging_1266/tillsynsmail/A 42724-2023 tillsynsbegäran mail.docx", "A 42724-2023")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46321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46321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46321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24823-2026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46321</v>
      </c>
      <c r="F24" t="inlineStr">
        <is>
          <t>SKÅNE LÄN</t>
        </is>
      </c>
      <c r="G24" t="inlineStr">
        <is>
          <t>HÖRBY</t>
        </is>
      </c>
      <c r="H24" t="inlineStr">
        <is>
          <t>Sveaskog</t>
        </is>
      </c>
      <c r="I24" t="n">
        <v>5.1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Tandrot</t>
        </is>
      </c>
      <c r="W24">
        <f>HYPERLINK("https://klasma.github.io/Logging_1266/artfynd/A 24823-2026 artfynd.xlsx", "A 24823-2026")</f>
        <v/>
      </c>
      <c r="X24">
        <f>HYPERLINK("https://klasma.github.io/Logging_1266/kartor/A 24823-2026 karta.png", "A 24823-2026")</f>
        <v/>
      </c>
      <c r="Y24">
        <f>HYPERLINK("https://klasma.github.io/Logging_1266/kartor_geotiff/A 24823-2026 georefererad karta.tif", "A 24823-2026")</f>
        <v/>
      </c>
      <c r="AA24">
        <f>HYPERLINK("https://klasma.github.io/Logging_1266/klagomål/A 24823-2026 FSC-klagomål.docx", "A 24823-2026")</f>
        <v/>
      </c>
      <c r="AB24">
        <f>HYPERLINK("https://klasma.github.io/Logging_1266/klagomålsmail/A 24823-2026 FSC-klagomål mail.docx", "A 24823-2026")</f>
        <v/>
      </c>
      <c r="AC24">
        <f>HYPERLINK("https://klasma.github.io/Logging_1266/tillsyn/A 24823-2026 tillsynsbegäran.docx", "A 24823-2026")</f>
        <v/>
      </c>
      <c r="AD24">
        <f>HYPERLINK("https://klasma.github.io/Logging_1266/tillsynsmail/A 24823-2026 tillsynsbegäran mail.docx", "A 24823-2026")</f>
        <v/>
      </c>
    </row>
    <row r="25" ht="15" customHeight="1">
      <c r="A25" t="inlineStr">
        <is>
          <t>A 16519-2026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46321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16519-2026 artfynd.xlsx", "A 16519-2026")</f>
        <v/>
      </c>
      <c r="X25">
        <f>HYPERLINK("https://klasma.github.io/Logging_1266/kartor/A 16519-2026 karta.png", "A 16519-2026")</f>
        <v/>
      </c>
      <c r="Y25">
        <f>HYPERLINK("https://klasma.github.io/Logging_1266/kartor_geotiff/A 16519-2026 georefererad karta.tif", "A 16519-2026")</f>
        <v/>
      </c>
      <c r="AA25">
        <f>HYPERLINK("https://klasma.github.io/Logging_1266/klagomål/A 16519-2026 FSC-klagomål.docx", "A 16519-2026")</f>
        <v/>
      </c>
      <c r="AB25">
        <f>HYPERLINK("https://klasma.github.io/Logging_1266/klagomålsmail/A 16519-2026 FSC-klagomål mail.docx", "A 16519-2026")</f>
        <v/>
      </c>
      <c r="AC25">
        <f>HYPERLINK("https://klasma.github.io/Logging_1266/tillsyn/A 16519-2026 tillsynsbegäran.docx", "A 16519-2026")</f>
        <v/>
      </c>
      <c r="AD25">
        <f>HYPERLINK("https://klasma.github.io/Logging_1266/tillsynsmail/A 16519-2026 tillsynsbegäran mail.docx", "A 16519-2026")</f>
        <v/>
      </c>
    </row>
    <row r="26" ht="15" customHeight="1">
      <c r="A26" t="inlineStr">
        <is>
          <t>A 31284-2026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46218</v>
      </c>
      <c r="E26" s="1" t="n">
        <v>46321</v>
      </c>
      <c r="F26" t="inlineStr">
        <is>
          <t>SKÅNE LÄN</t>
        </is>
      </c>
      <c r="G26" t="inlineStr">
        <is>
          <t>HÖRBY</t>
        </is>
      </c>
      <c r="I26" t="n">
        <v>6.8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Vanlig groda</t>
        </is>
      </c>
      <c r="W26">
        <f>HYPERLINK("https://klasma.github.io/Logging_1266/artfynd/A 31284-2026 artfynd.xlsx", "A 31284-2026")</f>
        <v/>
      </c>
      <c r="X26">
        <f>HYPERLINK("https://klasma.github.io/Logging_1266/kartor/A 31284-2026 karta.png", "A 31284-2026")</f>
        <v/>
      </c>
      <c r="Y26">
        <f>HYPERLINK("https://klasma.github.io/Logging_1266/kartor_geotiff/A 31284-2026 georefererad karta.tif", "A 31284-2026")</f>
        <v/>
      </c>
      <c r="AA26">
        <f>HYPERLINK("https://klasma.github.io/Logging_1266/klagomål/A 31284-2026 FSC-klagomål.docx", "A 31284-2026")</f>
        <v/>
      </c>
      <c r="AB26">
        <f>HYPERLINK("https://klasma.github.io/Logging_1266/klagomålsmail/A 31284-2026 FSC-klagomål mail.docx", "A 31284-2026")</f>
        <v/>
      </c>
      <c r="AC26">
        <f>HYPERLINK("https://klasma.github.io/Logging_1266/tillsyn/A 31284-2026 tillsynsbegäran.docx", "A 31284-2026")</f>
        <v/>
      </c>
      <c r="AD26">
        <f>HYPERLINK("https://klasma.github.io/Logging_1266/tillsynsmail/A 31284-2026 tillsynsbegäran mail.docx", "A 31284-2026")</f>
        <v/>
      </c>
    </row>
    <row r="27" ht="15" customHeight="1">
      <c r="A27" t="inlineStr">
        <is>
          <t>A 21713-2025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45783</v>
      </c>
      <c r="E27" s="1" t="n">
        <v>46321</v>
      </c>
      <c r="F27" t="inlineStr">
        <is>
          <t>SKÅNE LÄN</t>
        </is>
      </c>
      <c r="G27" t="inlineStr">
        <is>
          <t>HÖRBY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Gröngöling</t>
        </is>
      </c>
      <c r="W27">
        <f>HYPERLINK("https://klasma.github.io/Logging_1266/artfynd/A 21713-2025 artfynd.xlsx", "A 21713-2025")</f>
        <v/>
      </c>
      <c r="X27">
        <f>HYPERLINK("https://klasma.github.io/Logging_1266/kartor/A 21713-2025 karta.png", "A 21713-2025")</f>
        <v/>
      </c>
      <c r="Y27">
        <f>HYPERLINK("https://klasma.github.io/Logging_1266/kartor_geotiff/A 21713-2025 georefererad karta.tif", "A 21713-2025")</f>
        <v/>
      </c>
      <c r="AA27">
        <f>HYPERLINK("https://klasma.github.io/Logging_1266/klagomål/A 21713-2025 FSC-klagomål.docx", "A 21713-2025")</f>
        <v/>
      </c>
      <c r="AB27">
        <f>HYPERLINK("https://klasma.github.io/Logging_1266/klagomålsmail/A 21713-2025 FSC-klagomål mail.docx", "A 21713-2025")</f>
        <v/>
      </c>
      <c r="AC27">
        <f>HYPERLINK("https://klasma.github.io/Logging_1266/tillsyn/A 21713-2025 tillsynsbegäran.docx", "A 21713-2025")</f>
        <v/>
      </c>
      <c r="AD27">
        <f>HYPERLINK("https://klasma.github.io/Logging_1266/tillsynsmail/A 21713-2025 tillsynsbegäran mail.docx", "A 21713-2025")</f>
        <v/>
      </c>
    </row>
    <row r="28" ht="15" customHeight="1">
      <c r="A28" t="inlineStr">
        <is>
          <t>A 25479-2025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45802</v>
      </c>
      <c r="E28" s="1" t="n">
        <v>46321</v>
      </c>
      <c r="F28" t="inlineStr">
        <is>
          <t>SKÅNE LÄN</t>
        </is>
      </c>
      <c r="G28" t="inlineStr">
        <is>
          <t>HÖRBY</t>
        </is>
      </c>
      <c r="I28" t="n">
        <v>0.7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Lundvårlök</t>
        </is>
      </c>
      <c r="W28">
        <f>HYPERLINK("https://klasma.github.io/Logging_1266/artfynd/A 25479-2025 artfynd.xlsx", "A 25479-2025")</f>
        <v/>
      </c>
      <c r="X28">
        <f>HYPERLINK("https://klasma.github.io/Logging_1266/kartor/A 25479-2025 karta.png", "A 25479-2025")</f>
        <v/>
      </c>
      <c r="Y28">
        <f>HYPERLINK("https://klasma.github.io/Logging_1266/kartor_geotiff/A 25479-2025 georefererad karta.tif", "A 25479-2025")</f>
        <v/>
      </c>
      <c r="AA28">
        <f>HYPERLINK("https://klasma.github.io/Logging_1266/klagomål/A 25479-2025 FSC-klagomål.docx", "A 25479-2025")</f>
        <v/>
      </c>
      <c r="AB28">
        <f>HYPERLINK("https://klasma.github.io/Logging_1266/klagomålsmail/A 25479-2025 FSC-klagomål mail.docx", "A 25479-2025")</f>
        <v/>
      </c>
      <c r="AC28">
        <f>HYPERLINK("https://klasma.github.io/Logging_1266/tillsyn/A 25479-2025 tillsynsbegäran.docx", "A 25479-2025")</f>
        <v/>
      </c>
      <c r="AD28">
        <f>HYPERLINK("https://klasma.github.io/Logging_1266/tillsynsmail/A 25479-2025 tillsynsbegäran mail.docx", "A 25479-2025")</f>
        <v/>
      </c>
    </row>
    <row r="29" ht="15" customHeight="1">
      <c r="A29" t="inlineStr">
        <is>
          <t>A 30165-2026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46206</v>
      </c>
      <c r="E29" s="1" t="n">
        <v>46321</v>
      </c>
      <c r="F29" t="inlineStr">
        <is>
          <t>SKÅNE LÄN</t>
        </is>
      </c>
      <c r="G29" t="inlineStr">
        <is>
          <t>HÖRBY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HYPERLINK("https://klasma.github.io/Logging_1266/artfynd/A 30165-2026 artfynd.xlsx", "A 30165-2026")</f>
        <v/>
      </c>
      <c r="X29">
        <f>HYPERLINK("https://klasma.github.io/Logging_1266/kartor/A 30165-2026 karta.png", "A 30165-2026")</f>
        <v/>
      </c>
      <c r="Y29">
        <f>HYPERLINK("https://klasma.github.io/Logging_1266/kartor_geotiff/A 30165-2026 georefererad karta.tif", "A 30165-2026")</f>
        <v/>
      </c>
      <c r="AA29">
        <f>HYPERLINK("https://klasma.github.io/Logging_1266/klagomål/A 30165-2026 FSC-klagomål.docx", "A 30165-2026")</f>
        <v/>
      </c>
      <c r="AB29">
        <f>HYPERLINK("https://klasma.github.io/Logging_1266/klagomålsmail/A 30165-2026 FSC-klagomål mail.docx", "A 30165-2026")</f>
        <v/>
      </c>
      <c r="AC29">
        <f>HYPERLINK("https://klasma.github.io/Logging_1266/tillsyn/A 30165-2026 tillsynsbegäran.docx", "A 30165-2026")</f>
        <v/>
      </c>
      <c r="AD29">
        <f>HYPERLINK("https://klasma.github.io/Logging_1266/tillsynsmail/A 30165-2026 tillsynsbegäran mail.docx", "A 30165-2026")</f>
        <v/>
      </c>
    </row>
    <row r="30" ht="15" customHeight="1">
      <c r="A30" t="inlineStr">
        <is>
          <t>A 29129-2026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46202</v>
      </c>
      <c r="E30" s="1" t="n">
        <v>46321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10.5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Ekticka</t>
        </is>
      </c>
      <c r="W30">
        <f>HYPERLINK("https://klasma.github.io/Logging_1266/artfynd/A 29129-2026 artfynd.xlsx", "A 29129-2026")</f>
        <v/>
      </c>
      <c r="X30">
        <f>HYPERLINK("https://klasma.github.io/Logging_1266/kartor/A 29129-2026 karta.png", "A 29129-2026")</f>
        <v/>
      </c>
      <c r="Y30">
        <f>HYPERLINK("https://klasma.github.io/Logging_1266/kartor_geotiff/A 29129-2026 georefererad karta.tif", "A 29129-2026")</f>
        <v/>
      </c>
      <c r="AA30">
        <f>HYPERLINK("https://klasma.github.io/Logging_1266/klagomål/A 29129-2026 FSC-klagomål.docx", "A 29129-2026")</f>
        <v/>
      </c>
      <c r="AB30">
        <f>HYPERLINK("https://klasma.github.io/Logging_1266/klagomålsmail/A 29129-2026 FSC-klagomål mail.docx", "A 29129-2026")</f>
        <v/>
      </c>
      <c r="AC30">
        <f>HYPERLINK("https://klasma.github.io/Logging_1266/tillsyn/A 29129-2026 tillsynsbegäran.docx", "A 29129-2026")</f>
        <v/>
      </c>
      <c r="AD30">
        <f>HYPERLINK("https://klasma.github.io/Logging_1266/tillsynsmail/A 29129-2026 tillsynsbegäran mail.docx", "A 29129-2026")</f>
        <v/>
      </c>
    </row>
    <row r="31" ht="15" customHeight="1">
      <c r="A31" t="inlineStr">
        <is>
          <t>A 36362-2025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45868</v>
      </c>
      <c r="E31" s="1" t="n">
        <v>46321</v>
      </c>
      <c r="F31" t="inlineStr">
        <is>
          <t>SKÅNE LÄN</t>
        </is>
      </c>
      <c r="G31" t="inlineStr">
        <is>
          <t>HÖRBY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HYPERLINK("https://klasma.github.io/Logging_1266/artfynd/A 36362-2025 artfynd.xlsx", "A 36362-2025")</f>
        <v/>
      </c>
      <c r="X31">
        <f>HYPERLINK("https://klasma.github.io/Logging_1266/kartor/A 36362-2025 karta.png", "A 36362-2025")</f>
        <v/>
      </c>
      <c r="Y31">
        <f>HYPERLINK("https://klasma.github.io/Logging_1266/kartor_geotiff/A 36362-2025 georefererad karta.tif", "A 36362-2025")</f>
        <v/>
      </c>
      <c r="AA31">
        <f>HYPERLINK("https://klasma.github.io/Logging_1266/klagomål/A 36362-2025 FSC-klagomål.docx", "A 36362-2025")</f>
        <v/>
      </c>
      <c r="AB31">
        <f>HYPERLINK("https://klasma.github.io/Logging_1266/klagomålsmail/A 36362-2025 FSC-klagomål mail.docx", "A 36362-2025")</f>
        <v/>
      </c>
      <c r="AC31">
        <f>HYPERLINK("https://klasma.github.io/Logging_1266/tillsyn/A 36362-2025 tillsynsbegäran.docx", "A 36362-2025")</f>
        <v/>
      </c>
      <c r="AD31">
        <f>HYPERLINK("https://klasma.github.io/Logging_1266/tillsynsmail/A 36362-2025 tillsynsbegäran mail.docx", "A 36362-2025")</f>
        <v/>
      </c>
    </row>
    <row r="32" ht="15" customHeight="1">
      <c r="A32" t="inlineStr">
        <is>
          <t>A 47612-2023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45203</v>
      </c>
      <c r="E32" s="1" t="n">
        <v>46321</v>
      </c>
      <c r="F32" t="inlineStr">
        <is>
          <t>SKÅNE LÄN</t>
        </is>
      </c>
      <c r="G32" t="inlineStr">
        <is>
          <t>HÖRBY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47612-2023 artfynd.xlsx", "A 47612-2023")</f>
        <v/>
      </c>
      <c r="X32">
        <f>HYPERLINK("https://klasma.github.io/Logging_1266/kartor/A 47612-2023 karta.png", "A 47612-2023")</f>
        <v/>
      </c>
      <c r="Y32">
        <f>HYPERLINK("https://klasma.github.io/Logging_1266/kartor_geotiff/A 47612-2023 georefererad karta.tif", "A 47612-2023")</f>
        <v/>
      </c>
      <c r="AA32">
        <f>HYPERLINK("https://klasma.github.io/Logging_1266/klagomål/A 47612-2023 FSC-klagomål.docx", "A 47612-2023")</f>
        <v/>
      </c>
      <c r="AB32">
        <f>HYPERLINK("https://klasma.github.io/Logging_1266/klagomålsmail/A 47612-2023 FSC-klagomål mail.docx", "A 47612-2023")</f>
        <v/>
      </c>
      <c r="AC32">
        <f>HYPERLINK("https://klasma.github.io/Logging_1266/tillsyn/A 47612-2023 tillsynsbegäran.docx", "A 47612-2023")</f>
        <v/>
      </c>
      <c r="AD32">
        <f>HYPERLINK("https://klasma.github.io/Logging_1266/tillsynsmail/A 47612-2023 tillsynsbegäran mail.docx", "A 47612-2023")</f>
        <v/>
      </c>
    </row>
    <row r="33" ht="15" customHeight="1">
      <c r="A33" t="inlineStr">
        <is>
          <t>A 113-2023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44928</v>
      </c>
      <c r="E33" s="1" t="n">
        <v>46321</v>
      </c>
      <c r="F33" t="inlineStr">
        <is>
          <t>SKÅNE LÄN</t>
        </is>
      </c>
      <c r="G33" t="inlineStr">
        <is>
          <t>HÖRBY</t>
        </is>
      </c>
      <c r="I33" t="n">
        <v>5.1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HYPERLINK("https://klasma.github.io/Logging_1266/artfynd/A 113-2023 artfynd.xlsx", "A 113-2023")</f>
        <v/>
      </c>
      <c r="X33">
        <f>HYPERLINK("https://klasma.github.io/Logging_1266/kartor/A 113-2023 karta.png", "A 113-2023")</f>
        <v/>
      </c>
      <c r="Y33">
        <f>HYPERLINK("https://klasma.github.io/Logging_1266/kartor_geotiff/A 113-2023 georefererad karta.tif", "A 113-2023")</f>
        <v/>
      </c>
      <c r="AA33">
        <f>HYPERLINK("https://klasma.github.io/Logging_1266/klagomål/A 113-2023 FSC-klagomål.docx", "A 113-2023")</f>
        <v/>
      </c>
      <c r="AB33">
        <f>HYPERLINK("https://klasma.github.io/Logging_1266/klagomålsmail/A 113-2023 FSC-klagomål mail.docx", "A 113-2023")</f>
        <v/>
      </c>
      <c r="AC33">
        <f>HYPERLINK("https://klasma.github.io/Logging_1266/tillsyn/A 113-2023 tillsynsbegäran.docx", "A 113-2023")</f>
        <v/>
      </c>
      <c r="AD33">
        <f>HYPERLINK("https://klasma.github.io/Logging_1266/tillsynsmail/A 113-2023 tillsynsbegäran mail.docx", "A 113-2023")</f>
        <v/>
      </c>
    </row>
    <row r="34" ht="15" customHeight="1">
      <c r="A34" t="inlineStr">
        <is>
          <t>A 25833-2024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45463</v>
      </c>
      <c r="E34" s="1" t="n">
        <v>46321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Slåttergubbe</t>
        </is>
      </c>
      <c r="W34">
        <f>HYPERLINK("https://klasma.github.io/Logging_1266/artfynd/A 25833-2024 artfynd.xlsx", "A 25833-2024")</f>
        <v/>
      </c>
      <c r="X34">
        <f>HYPERLINK("https://klasma.github.io/Logging_1266/kartor/A 25833-2024 karta.png", "A 25833-2024")</f>
        <v/>
      </c>
      <c r="Y34">
        <f>HYPERLINK("https://klasma.github.io/Logging_1266/kartor_geotiff/A 25833-2024 georefererad karta.tif", "A 25833-2024")</f>
        <v/>
      </c>
      <c r="AA34">
        <f>HYPERLINK("https://klasma.github.io/Logging_1266/klagomål/A 25833-2024 FSC-klagomål.docx", "A 25833-2024")</f>
        <v/>
      </c>
      <c r="AB34">
        <f>HYPERLINK("https://klasma.github.io/Logging_1266/klagomålsmail/A 25833-2024 FSC-klagomål mail.docx", "A 25833-2024")</f>
        <v/>
      </c>
      <c r="AC34">
        <f>HYPERLINK("https://klasma.github.io/Logging_1266/tillsyn/A 25833-2024 tillsynsbegäran.docx", "A 25833-2024")</f>
        <v/>
      </c>
      <c r="AD34">
        <f>HYPERLINK("https://klasma.github.io/Logging_1266/tillsynsmail/A 25833-2024 tillsynsbegäran mail.docx", "A 25833-2024")</f>
        <v/>
      </c>
    </row>
    <row r="35" ht="15" customHeight="1">
      <c r="A35" t="inlineStr">
        <is>
          <t>A 40376-2023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45169</v>
      </c>
      <c r="E35" s="1" t="n">
        <v>46321</v>
      </c>
      <c r="F35" t="inlineStr">
        <is>
          <t>SKÅNE LÄN</t>
        </is>
      </c>
      <c r="G35" t="inlineStr">
        <is>
          <t>HÖRBY</t>
        </is>
      </c>
      <c r="I35" t="n">
        <v>2.7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Talltita</t>
        </is>
      </c>
      <c r="W35">
        <f>HYPERLINK("https://klasma.github.io/Logging_1266/artfynd/A 40376-2023 artfynd.xlsx", "A 40376-2023")</f>
        <v/>
      </c>
      <c r="X35">
        <f>HYPERLINK("https://klasma.github.io/Logging_1266/kartor/A 40376-2023 karta.png", "A 40376-2023")</f>
        <v/>
      </c>
      <c r="Y35">
        <f>HYPERLINK("https://klasma.github.io/Logging_1266/kartor_geotiff/A 40376-2023 georefererad karta.tif", "A 40376-2023")</f>
        <v/>
      </c>
      <c r="AA35">
        <f>HYPERLINK("https://klasma.github.io/Logging_1266/klagomål/A 40376-2023 FSC-klagomål.docx", "A 40376-2023")</f>
        <v/>
      </c>
      <c r="AB35">
        <f>HYPERLINK("https://klasma.github.io/Logging_1266/klagomålsmail/A 40376-2023 FSC-klagomål mail.docx", "A 40376-2023")</f>
        <v/>
      </c>
      <c r="AC35">
        <f>HYPERLINK("https://klasma.github.io/Logging_1266/tillsyn/A 40376-2023 tillsynsbegäran.docx", "A 40376-2023")</f>
        <v/>
      </c>
      <c r="AD35">
        <f>HYPERLINK("https://klasma.github.io/Logging_1266/tillsynsmail/A 40376-2023 tillsynsbegäran mail.docx", "A 40376-2023")</f>
        <v/>
      </c>
      <c r="AE35">
        <f>HYPERLINK("https://klasma.github.io/Logging_1266/fåglar/A 40376-2023 prioriterade fågelarter.docx", "A 40376-2023")</f>
        <v/>
      </c>
    </row>
    <row r="36" ht="15" customHeight="1">
      <c r="A36" t="inlineStr">
        <is>
          <t>A 31115-2024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45502</v>
      </c>
      <c r="E36" s="1" t="n">
        <v>46321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HYPERLINK("https://klasma.github.io/Logging_1266/artfynd/A 31115-2024 artfynd.xlsx", "A 31115-2024")</f>
        <v/>
      </c>
      <c r="X36">
        <f>HYPERLINK("https://klasma.github.io/Logging_1266/kartor/A 31115-2024 karta.png", "A 31115-2024")</f>
        <v/>
      </c>
      <c r="Y36">
        <f>HYPERLINK("https://klasma.github.io/Logging_1266/kartor_geotiff/A 31115-2024 georefererad karta.tif", "A 31115-2024")</f>
        <v/>
      </c>
      <c r="AA36">
        <f>HYPERLINK("https://klasma.github.io/Logging_1266/klagomål/A 31115-2024 FSC-klagomål.docx", "A 31115-2024")</f>
        <v/>
      </c>
      <c r="AB36">
        <f>HYPERLINK("https://klasma.github.io/Logging_1266/klagomålsmail/A 31115-2024 FSC-klagomål mail.docx", "A 31115-2024")</f>
        <v/>
      </c>
      <c r="AC36">
        <f>HYPERLINK("https://klasma.github.io/Logging_1266/tillsyn/A 31115-2024 tillsynsbegäran.docx", "A 31115-2024")</f>
        <v/>
      </c>
      <c r="AD36">
        <f>HYPERLINK("https://klasma.github.io/Logging_1266/tillsynsmail/A 31115-2024 tillsynsbegäran mail.docx", "A 31115-2024")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46321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46321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46321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46321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46321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46321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46321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46321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46321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46321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46321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46321</v>
      </c>
      <c r="F48" t="inlineStr">
        <is>
          <t>SKÅNE LÄN</t>
        </is>
      </c>
      <c r="G48" t="inlineStr">
        <is>
          <t>HÖRBY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44834</v>
      </c>
      <c r="E49" s="1" t="n">
        <v>46321</v>
      </c>
      <c r="F49" t="inlineStr">
        <is>
          <t>SKÅNE LÄN</t>
        </is>
      </c>
      <c r="G49" t="inlineStr">
        <is>
          <t>HÖRBY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47609-2023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45203</v>
      </c>
      <c r="E50" s="1" t="n">
        <v>46321</v>
      </c>
      <c r="F50" t="inlineStr">
        <is>
          <t>SKÅNE LÄN</t>
        </is>
      </c>
      <c r="G50" t="inlineStr">
        <is>
          <t>HÖRBY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43685-2022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44837</v>
      </c>
      <c r="E51" s="1" t="n">
        <v>46321</v>
      </c>
      <c r="F51" t="inlineStr">
        <is>
          <t>SKÅNE LÄN</t>
        </is>
      </c>
      <c r="G51" t="inlineStr">
        <is>
          <t>HÖRBY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45363</v>
      </c>
      <c r="E52" s="1" t="n">
        <v>46321</v>
      </c>
      <c r="F52" t="inlineStr">
        <is>
          <t>SKÅNE LÄN</t>
        </is>
      </c>
      <c r="G52" t="inlineStr">
        <is>
          <t>HÖRBY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24724-2024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45460</v>
      </c>
      <c r="E53" s="1" t="n">
        <v>46321</v>
      </c>
      <c r="F53" t="inlineStr">
        <is>
          <t>SKÅNE LÄN</t>
        </is>
      </c>
      <c r="G53" t="inlineStr">
        <is>
          <t>HÖRBY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15970-2024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45405</v>
      </c>
      <c r="E54" s="1" t="n">
        <v>46321</v>
      </c>
      <c r="F54" t="inlineStr">
        <is>
          <t>SKÅNE LÄN</t>
        </is>
      </c>
      <c r="G54" t="inlineStr">
        <is>
          <t>HÖRBY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46048</v>
      </c>
      <c r="E55" s="1" t="n">
        <v>46321</v>
      </c>
      <c r="F55" t="inlineStr">
        <is>
          <t>SKÅNE LÄN</t>
        </is>
      </c>
      <c r="G55" t="inlineStr">
        <is>
          <t>HÖRBY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6558-2025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45699</v>
      </c>
      <c r="E56" s="1" t="n">
        <v>46321</v>
      </c>
      <c r="F56" t="inlineStr">
        <is>
          <t>SKÅNE LÄN</t>
        </is>
      </c>
      <c r="G56" t="inlineStr">
        <is>
          <t>HÖRBY</t>
        </is>
      </c>
      <c r="H56" t="inlineStr">
        <is>
          <t>Kommuner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45845</v>
      </c>
      <c r="E57" s="1" t="n">
        <v>46321</v>
      </c>
      <c r="F57" t="inlineStr">
        <is>
          <t>SKÅNE LÄN</t>
        </is>
      </c>
      <c r="G57" t="inlineStr">
        <is>
          <t>HÖRBY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44944</v>
      </c>
      <c r="E58" s="1" t="n">
        <v>46321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31522-2022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44775</v>
      </c>
      <c r="E59" s="1" t="n">
        <v>46321</v>
      </c>
      <c r="F59" t="inlineStr">
        <is>
          <t>SKÅNE LÄN</t>
        </is>
      </c>
      <c r="G59" t="inlineStr">
        <is>
          <t>HÖRBY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45237</v>
      </c>
      <c r="E60" s="1" t="n">
        <v>46321</v>
      </c>
      <c r="F60" t="inlineStr">
        <is>
          <t>SKÅNE LÄN</t>
        </is>
      </c>
      <c r="G60" t="inlineStr">
        <is>
          <t>HÖRBY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28918-2023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46321</v>
      </c>
      <c r="F61" t="inlineStr">
        <is>
          <t>SKÅNE LÄN</t>
        </is>
      </c>
      <c r="G61" t="inlineStr">
        <is>
          <t>HÖRBY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44946</v>
      </c>
      <c r="E62" s="1" t="n">
        <v>46321</v>
      </c>
      <c r="F62" t="inlineStr">
        <is>
          <t>SKÅNE LÄN</t>
        </is>
      </c>
      <c r="G62" t="inlineStr">
        <is>
          <t>HÖRBY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46048</v>
      </c>
      <c r="E63" s="1" t="n">
        <v>46321</v>
      </c>
      <c r="F63" t="inlineStr">
        <is>
          <t>SKÅNE LÄN</t>
        </is>
      </c>
      <c r="G63" t="inlineStr">
        <is>
          <t>HÖRBY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46051</v>
      </c>
      <c r="E64" s="1" t="n">
        <v>46321</v>
      </c>
      <c r="F64" t="inlineStr">
        <is>
          <t>SKÅNE LÄN</t>
        </is>
      </c>
      <c r="G64" t="inlineStr">
        <is>
          <t>HÖRBY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5163-2024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45330</v>
      </c>
      <c r="E65" s="1" t="n">
        <v>46321</v>
      </c>
      <c r="F65" t="inlineStr">
        <is>
          <t>SKÅNE LÄN</t>
        </is>
      </c>
      <c r="G65" t="inlineStr">
        <is>
          <t>HÖRBY</t>
        </is>
      </c>
      <c r="H65" t="inlineStr">
        <is>
          <t>Kyrkan</t>
        </is>
      </c>
      <c r="I65" t="n">
        <v>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18369-2025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45762</v>
      </c>
      <c r="E66" s="1" t="n">
        <v>46321</v>
      </c>
      <c r="F66" t="inlineStr">
        <is>
          <t>SKÅNE LÄN</t>
        </is>
      </c>
      <c r="G66" t="inlineStr">
        <is>
          <t>HÖRBY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13228-2024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46321</v>
      </c>
      <c r="F67" t="inlineStr">
        <is>
          <t>SKÅNE LÄN</t>
        </is>
      </c>
      <c r="G67" t="inlineStr">
        <is>
          <t>HÖRBY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48427-2022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46321</v>
      </c>
      <c r="F68" t="inlineStr">
        <is>
          <t>SKÅNE LÄN</t>
        </is>
      </c>
      <c r="G68" t="inlineStr">
        <is>
          <t>HÖRBY</t>
        </is>
      </c>
      <c r="H68" t="inlineStr">
        <is>
          <t>Sveaskog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45688</v>
      </c>
      <c r="E69" s="1" t="n">
        <v>46321</v>
      </c>
      <c r="F69" t="inlineStr">
        <is>
          <t>SKÅNE LÄN</t>
        </is>
      </c>
      <c r="G69" t="inlineStr">
        <is>
          <t>HÖRBY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34147-2025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45845</v>
      </c>
      <c r="E70" s="1" t="n">
        <v>46321</v>
      </c>
      <c r="F70" t="inlineStr">
        <is>
          <t>SKÅNE LÄN</t>
        </is>
      </c>
      <c r="G70" t="inlineStr">
        <is>
          <t>HÖRBY</t>
        </is>
      </c>
      <c r="I70" t="n">
        <v>18.7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46321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37728-2022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46321</v>
      </c>
      <c r="F72" t="inlineStr">
        <is>
          <t>SKÅNE LÄN</t>
        </is>
      </c>
      <c r="G72" t="inlineStr">
        <is>
          <t>HÖRBY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33358-2023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45128</v>
      </c>
      <c r="E73" s="1" t="n">
        <v>46321</v>
      </c>
      <c r="F73" t="inlineStr">
        <is>
          <t>SKÅNE LÄN</t>
        </is>
      </c>
      <c r="G73" t="inlineStr">
        <is>
          <t>HÖRBY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56818-2022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44894</v>
      </c>
      <c r="E74" s="1" t="n">
        <v>46321</v>
      </c>
      <c r="F74" t="inlineStr">
        <is>
          <t>SKÅNE LÄN</t>
        </is>
      </c>
      <c r="G74" t="inlineStr">
        <is>
          <t>HÖRBY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3177-2026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46041</v>
      </c>
      <c r="E75" s="1" t="n">
        <v>46321</v>
      </c>
      <c r="F75" t="inlineStr">
        <is>
          <t>SKÅNE LÄN</t>
        </is>
      </c>
      <c r="G75" t="inlineStr">
        <is>
          <t>HÖRBY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33359-2023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45128</v>
      </c>
      <c r="E76" s="1" t="n">
        <v>46321</v>
      </c>
      <c r="F76" t="inlineStr">
        <is>
          <t>SKÅNE LÄN</t>
        </is>
      </c>
      <c r="G76" t="inlineStr">
        <is>
          <t>HÖRBY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39507-2024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45551</v>
      </c>
      <c r="E77" s="1" t="n">
        <v>46321</v>
      </c>
      <c r="F77" t="inlineStr">
        <is>
          <t>SKÅNE LÄN</t>
        </is>
      </c>
      <c r="G77" t="inlineStr">
        <is>
          <t>HÖRBY</t>
        </is>
      </c>
      <c r="H77" t="inlineStr">
        <is>
          <t>Sveaskog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41940-2022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44833</v>
      </c>
      <c r="E78" s="1" t="n">
        <v>46321</v>
      </c>
      <c r="F78" t="inlineStr">
        <is>
          <t>SKÅNE LÄN</t>
        </is>
      </c>
      <c r="G78" t="inlineStr">
        <is>
          <t>HÖRBY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51757-2025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45951</v>
      </c>
      <c r="E79" s="1" t="n">
        <v>46321</v>
      </c>
      <c r="F79" t="inlineStr">
        <is>
          <t>SKÅNE LÄN</t>
        </is>
      </c>
      <c r="G79" t="inlineStr">
        <is>
          <t>HÖRBY</t>
        </is>
      </c>
      <c r="H79" t="inlineStr">
        <is>
          <t>Sveaskog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45187</v>
      </c>
      <c r="E80" s="1" t="n">
        <v>46321</v>
      </c>
      <c r="F80" t="inlineStr">
        <is>
          <t>SKÅNE LÄN</t>
        </is>
      </c>
      <c r="G80" t="inlineStr">
        <is>
          <t>HÖRBY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46321</v>
      </c>
      <c r="F81" t="inlineStr">
        <is>
          <t>SKÅNE LÄN</t>
        </is>
      </c>
      <c r="G81" t="inlineStr">
        <is>
          <t>HÖRBY</t>
        </is>
      </c>
      <c r="H81" t="inlineStr">
        <is>
          <t>Sveaskog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28527-2023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46321</v>
      </c>
      <c r="F82" t="inlineStr">
        <is>
          <t>SKÅNE LÄN</t>
        </is>
      </c>
      <c r="G82" t="inlineStr">
        <is>
          <t>HÖRBY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52930-2025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46321</v>
      </c>
      <c r="F83" t="inlineStr">
        <is>
          <t>SKÅNE LÄN</t>
        </is>
      </c>
      <c r="G83" t="inlineStr">
        <is>
          <t>HÖRBY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19420-2022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44693</v>
      </c>
      <c r="E84" s="1" t="n">
        <v>46321</v>
      </c>
      <c r="F84" t="inlineStr">
        <is>
          <t>SKÅNE LÄN</t>
        </is>
      </c>
      <c r="G84" t="inlineStr">
        <is>
          <t>HÖRBY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45988</v>
      </c>
      <c r="E85" s="1" t="n">
        <v>46321</v>
      </c>
      <c r="F85" t="inlineStr">
        <is>
          <t>SKÅNE LÄN</t>
        </is>
      </c>
      <c r="G85" t="inlineStr">
        <is>
          <t>HÖRBY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54765-2025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45966</v>
      </c>
      <c r="E86" s="1" t="n">
        <v>46321</v>
      </c>
      <c r="F86" t="inlineStr">
        <is>
          <t>SKÅNE LÄN</t>
        </is>
      </c>
      <c r="G86" t="inlineStr">
        <is>
          <t>HÖRBY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40994-2025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45898</v>
      </c>
      <c r="E87" s="1" t="n">
        <v>46321</v>
      </c>
      <c r="F87" t="inlineStr">
        <is>
          <t>SKÅNE LÄN</t>
        </is>
      </c>
      <c r="G87" t="inlineStr">
        <is>
          <t>HÖRBY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55304-2025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45970</v>
      </c>
      <c r="E88" s="1" t="n">
        <v>46321</v>
      </c>
      <c r="F88" t="inlineStr">
        <is>
          <t>SKÅNE LÄN</t>
        </is>
      </c>
      <c r="G88" t="inlineStr">
        <is>
          <t>HÖRBY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55306-2025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45970</v>
      </c>
      <c r="E89" s="1" t="n">
        <v>46321</v>
      </c>
      <c r="F89" t="inlineStr">
        <is>
          <t>SKÅNE LÄN</t>
        </is>
      </c>
      <c r="G89" t="inlineStr">
        <is>
          <t>HÖRBY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16518-2026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46112</v>
      </c>
      <c r="E90" s="1" t="n">
        <v>46321</v>
      </c>
      <c r="F90" t="inlineStr">
        <is>
          <t>SKÅNE LÄN</t>
        </is>
      </c>
      <c r="G90" t="inlineStr">
        <is>
          <t>HÖRBY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45236</v>
      </c>
      <c r="E91" s="1" t="n">
        <v>46321</v>
      </c>
      <c r="F91" t="inlineStr">
        <is>
          <t>SKÅNE LÄN</t>
        </is>
      </c>
      <c r="G91" t="inlineStr">
        <is>
          <t>HÖRBY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29138-2026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46202</v>
      </c>
      <c r="E92" s="1" t="n">
        <v>46321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57269-2025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45979</v>
      </c>
      <c r="E93" s="1" t="n">
        <v>46321</v>
      </c>
      <c r="F93" t="inlineStr">
        <is>
          <t>SKÅNE LÄN</t>
        </is>
      </c>
      <c r="G93" t="inlineStr">
        <is>
          <t>HÖRBY</t>
        </is>
      </c>
      <c r="H93" t="inlineStr">
        <is>
          <t>Sveaskog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29135-2026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46202</v>
      </c>
      <c r="E94" s="1" t="n">
        <v>46321</v>
      </c>
      <c r="F94" t="inlineStr">
        <is>
          <t>SKÅNE LÄN</t>
        </is>
      </c>
      <c r="G94" t="inlineStr">
        <is>
          <t>HÖRBY</t>
        </is>
      </c>
      <c r="H94" t="inlineStr">
        <is>
          <t>Sveaskog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29137-2026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46202</v>
      </c>
      <c r="E95" s="1" t="n">
        <v>46321</v>
      </c>
      <c r="F95" t="inlineStr">
        <is>
          <t>SKÅNE LÄN</t>
        </is>
      </c>
      <c r="G95" t="inlineStr">
        <is>
          <t>HÖRBY</t>
        </is>
      </c>
      <c r="H95" t="inlineStr">
        <is>
          <t>Sveaskog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29124-2026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46202</v>
      </c>
      <c r="E96" s="1" t="n">
        <v>46321</v>
      </c>
      <c r="F96" t="inlineStr">
        <is>
          <t>SKÅNE LÄN</t>
        </is>
      </c>
      <c r="G96" t="inlineStr">
        <is>
          <t>HÖRBY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47641-2023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45203</v>
      </c>
      <c r="E97" s="1" t="n">
        <v>46321</v>
      </c>
      <c r="F97" t="inlineStr">
        <is>
          <t>SKÅNE LÄN</t>
        </is>
      </c>
      <c r="G97" t="inlineStr">
        <is>
          <t>HÖRBY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60963-2023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45261</v>
      </c>
      <c r="E98" s="1" t="n">
        <v>46321</v>
      </c>
      <c r="F98" t="inlineStr">
        <is>
          <t>SKÅNE LÄN</t>
        </is>
      </c>
      <c r="G98" t="inlineStr">
        <is>
          <t>HÖRBY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59308-2025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45989</v>
      </c>
      <c r="E99" s="1" t="n">
        <v>46321</v>
      </c>
      <c r="F99" t="inlineStr">
        <is>
          <t>SKÅNE LÄN</t>
        </is>
      </c>
      <c r="G99" t="inlineStr">
        <is>
          <t>HÖRBY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46213</v>
      </c>
      <c r="E100" s="1" t="n">
        <v>46321</v>
      </c>
      <c r="F100" t="inlineStr">
        <is>
          <t>SKÅNE LÄN</t>
        </is>
      </c>
      <c r="G100" t="inlineStr">
        <is>
          <t>HÖRBY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23606-2026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46162</v>
      </c>
      <c r="E101" s="1" t="n">
        <v>46321</v>
      </c>
      <c r="F101" t="inlineStr">
        <is>
          <t>SKÅNE LÄN</t>
        </is>
      </c>
      <c r="G101" t="inlineStr">
        <is>
          <t>HÖRBY</t>
        </is>
      </c>
      <c r="I101" t="n">
        <v>9.4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31286-2026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46218</v>
      </c>
      <c r="E102" s="1" t="n">
        <v>46321</v>
      </c>
      <c r="F102" t="inlineStr">
        <is>
          <t>SKÅNE LÄN</t>
        </is>
      </c>
      <c r="G102" t="inlineStr">
        <is>
          <t>HÖRBY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45970</v>
      </c>
      <c r="E103" s="1" t="n">
        <v>46321</v>
      </c>
      <c r="F103" t="inlineStr">
        <is>
          <t>SKÅNE LÄN</t>
        </is>
      </c>
      <c r="G103" t="inlineStr">
        <is>
          <t>HÖRBY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57017-2025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45978</v>
      </c>
      <c r="E104" s="1" t="n">
        <v>46321</v>
      </c>
      <c r="F104" t="inlineStr">
        <is>
          <t>SKÅNE LÄN</t>
        </is>
      </c>
      <c r="G104" t="inlineStr">
        <is>
          <t>HÖRBY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52310-2023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45224</v>
      </c>
      <c r="E105" s="1" t="n">
        <v>46321</v>
      </c>
      <c r="F105" t="inlineStr">
        <is>
          <t>SKÅNE LÄN</t>
        </is>
      </c>
      <c r="G105" t="inlineStr">
        <is>
          <t>HÖRBY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38073-2026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46280</v>
      </c>
      <c r="E106" s="1" t="n">
        <v>46321</v>
      </c>
      <c r="F106" t="inlineStr">
        <is>
          <t>SKÅNE LÄN</t>
        </is>
      </c>
      <c r="G106" t="inlineStr">
        <is>
          <t>HÖRBY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45673</v>
      </c>
      <c r="E107" s="1" t="n">
        <v>46321</v>
      </c>
      <c r="F107" t="inlineStr">
        <is>
          <t>SKÅNE LÄN</t>
        </is>
      </c>
      <c r="G107" t="inlineStr">
        <is>
          <t>HÖRBY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46030</v>
      </c>
      <c r="E108" s="1" t="n">
        <v>46321</v>
      </c>
      <c r="F108" t="inlineStr">
        <is>
          <t>SKÅNE LÄN</t>
        </is>
      </c>
      <c r="G108" t="inlineStr">
        <is>
          <t>HÖRBY</t>
        </is>
      </c>
      <c r="H108" t="inlineStr">
        <is>
          <t>Sveaskog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829-2026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46030</v>
      </c>
      <c r="E109" s="1" t="n">
        <v>46321</v>
      </c>
      <c r="F109" t="inlineStr">
        <is>
          <t>SKÅNE LÄN</t>
        </is>
      </c>
      <c r="G109" t="inlineStr">
        <is>
          <t>HÖRBY</t>
        </is>
      </c>
      <c r="H109" t="inlineStr">
        <is>
          <t>Sveaskog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821-2026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46030</v>
      </c>
      <c r="E110" s="1" t="n">
        <v>46321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46029</v>
      </c>
      <c r="E111" s="1" t="n">
        <v>46321</v>
      </c>
      <c r="F111" t="inlineStr">
        <is>
          <t>SKÅNE LÄN</t>
        </is>
      </c>
      <c r="G111" t="inlineStr">
        <is>
          <t>HÖRBY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38936-2026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46286</v>
      </c>
      <c r="E112" s="1" t="n">
        <v>46321</v>
      </c>
      <c r="F112" t="inlineStr">
        <is>
          <t>SKÅNE LÄN</t>
        </is>
      </c>
      <c r="G112" t="inlineStr">
        <is>
          <t>HÖRBY</t>
        </is>
      </c>
      <c r="H112" t="inlineStr">
        <is>
          <t>Sveaskog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38948-2026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46286</v>
      </c>
      <c r="E113" s="1" t="n">
        <v>46321</v>
      </c>
      <c r="F113" t="inlineStr">
        <is>
          <t>SKÅNE LÄN</t>
        </is>
      </c>
      <c r="G113" t="inlineStr">
        <is>
          <t>HÖRBY</t>
        </is>
      </c>
      <c r="H113" t="inlineStr">
        <is>
          <t>Sveaskog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38906-2026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46286</v>
      </c>
      <c r="E114" s="1" t="n">
        <v>46321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20047-2026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46136</v>
      </c>
      <c r="E115" s="1" t="n">
        <v>46321</v>
      </c>
      <c r="F115" t="inlineStr">
        <is>
          <t>SKÅNE LÄN</t>
        </is>
      </c>
      <c r="G115" t="inlineStr">
        <is>
          <t>HÖRBY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1989-2026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46035</v>
      </c>
      <c r="E116" s="1" t="n">
        <v>46321</v>
      </c>
      <c r="F116" t="inlineStr">
        <is>
          <t>SKÅNE LÄN</t>
        </is>
      </c>
      <c r="G116" t="inlineStr">
        <is>
          <t>HÖRBY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46038</v>
      </c>
      <c r="E117" s="1" t="n">
        <v>46321</v>
      </c>
      <c r="F117" t="inlineStr">
        <is>
          <t>SKÅNE LÄN</t>
        </is>
      </c>
      <c r="G117" t="inlineStr">
        <is>
          <t>HÖRBY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38824-2026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46286</v>
      </c>
      <c r="E118" s="1" t="n">
        <v>46321</v>
      </c>
      <c r="F118" t="inlineStr">
        <is>
          <t>SKÅNE LÄN</t>
        </is>
      </c>
      <c r="G118" t="inlineStr">
        <is>
          <t>HÖRBY</t>
        </is>
      </c>
      <c r="H118" t="inlineStr">
        <is>
          <t>Sveaskog</t>
        </is>
      </c>
      <c r="I118" t="n">
        <v>11.2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36689-2024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45537</v>
      </c>
      <c r="E119" s="1" t="n">
        <v>46321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9.5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45754</v>
      </c>
      <c r="E120" s="1" t="n">
        <v>46321</v>
      </c>
      <c r="F120" t="inlineStr">
        <is>
          <t>SKÅNE LÄN</t>
        </is>
      </c>
      <c r="G120" t="inlineStr">
        <is>
          <t>HÖRBY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5374-2026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46050</v>
      </c>
      <c r="E121" s="1" t="n">
        <v>46321</v>
      </c>
      <c r="F121" t="inlineStr">
        <is>
          <t>SKÅNE LÄN</t>
        </is>
      </c>
      <c r="G121" t="inlineStr">
        <is>
          <t>HÖRBY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43711-2024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45569</v>
      </c>
      <c r="E122" s="1" t="n">
        <v>46321</v>
      </c>
      <c r="F122" t="inlineStr">
        <is>
          <t>SKÅNE LÄN</t>
        </is>
      </c>
      <c r="G122" t="inlineStr">
        <is>
          <t>HÖRBY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38080-2024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45545</v>
      </c>
      <c r="E123" s="1" t="n">
        <v>46321</v>
      </c>
      <c r="F123" t="inlineStr">
        <is>
          <t>SKÅNE LÄN</t>
        </is>
      </c>
      <c r="G123" t="inlineStr">
        <is>
          <t>HÖRBY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45792</v>
      </c>
      <c r="E124" s="1" t="n">
        <v>46321</v>
      </c>
      <c r="F124" t="inlineStr">
        <is>
          <t>SKÅNE LÄN</t>
        </is>
      </c>
      <c r="G124" t="inlineStr">
        <is>
          <t>HÖRBY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39481-2026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46289</v>
      </c>
      <c r="E125" s="1" t="n">
        <v>46321</v>
      </c>
      <c r="F125" t="inlineStr">
        <is>
          <t>SKÅNE LÄN</t>
        </is>
      </c>
      <c r="G125" t="inlineStr">
        <is>
          <t>HÖRBY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8310-2026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46064</v>
      </c>
      <c r="E126" s="1" t="n">
        <v>46321</v>
      </c>
      <c r="F126" t="inlineStr">
        <is>
          <t>SKÅNE LÄN</t>
        </is>
      </c>
      <c r="G126" t="inlineStr">
        <is>
          <t>HÖRBY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8260-2026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46064</v>
      </c>
      <c r="E127" s="1" t="n">
        <v>46321</v>
      </c>
      <c r="F127" t="inlineStr">
        <is>
          <t>SKÅNE LÄN</t>
        </is>
      </c>
      <c r="G127" t="inlineStr">
        <is>
          <t>HÖRBY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8259-2026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46064</v>
      </c>
      <c r="E128" s="1" t="n">
        <v>46321</v>
      </c>
      <c r="F128" t="inlineStr">
        <is>
          <t>SKÅNE LÄN</t>
        </is>
      </c>
      <c r="G128" t="inlineStr">
        <is>
          <t>HÖRBY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45818</v>
      </c>
      <c r="E129" s="1" t="n">
        <v>46321</v>
      </c>
      <c r="F129" t="inlineStr">
        <is>
          <t>SKÅNE LÄN</t>
        </is>
      </c>
      <c r="G129" t="inlineStr">
        <is>
          <t>HÖRBY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45715</v>
      </c>
      <c r="E130" s="1" t="n">
        <v>46321</v>
      </c>
      <c r="F130" t="inlineStr">
        <is>
          <t>SKÅNE LÄN</t>
        </is>
      </c>
      <c r="G130" t="inlineStr">
        <is>
          <t>HÖRBY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29244-2025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46321</v>
      </c>
      <c r="F131" t="inlineStr">
        <is>
          <t>SKÅNE LÄN</t>
        </is>
      </c>
      <c r="G131" t="inlineStr">
        <is>
          <t>HÖRBY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29354-2025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46321</v>
      </c>
      <c r="F132" t="inlineStr">
        <is>
          <t>SKÅNE LÄN</t>
        </is>
      </c>
      <c r="G132" t="inlineStr">
        <is>
          <t>HÖRBY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10731-2026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46078</v>
      </c>
      <c r="E133" s="1" t="n">
        <v>46321</v>
      </c>
      <c r="F133" t="inlineStr">
        <is>
          <t>SKÅNE LÄN</t>
        </is>
      </c>
      <c r="G133" t="inlineStr">
        <is>
          <t>HÖRBY</t>
        </is>
      </c>
      <c r="H133" t="inlineStr">
        <is>
          <t>Kyrkan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46321</v>
      </c>
      <c r="F134" t="inlineStr">
        <is>
          <t>SKÅNE LÄN</t>
        </is>
      </c>
      <c r="G134" t="inlineStr">
        <is>
          <t>HÖRBY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45315</v>
      </c>
      <c r="E135" s="1" t="n">
        <v>46321</v>
      </c>
      <c r="F135" t="inlineStr">
        <is>
          <t>SKÅNE LÄN</t>
        </is>
      </c>
      <c r="G135" t="inlineStr">
        <is>
          <t>HÖRBY</t>
        </is>
      </c>
      <c r="H135" t="inlineStr">
        <is>
          <t>Kyrkan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32459-2025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45838</v>
      </c>
      <c r="E136" s="1" t="n">
        <v>46321</v>
      </c>
      <c r="F136" t="inlineStr">
        <is>
          <t>SKÅNE LÄN</t>
        </is>
      </c>
      <c r="G136" t="inlineStr">
        <is>
          <t>HÖRBY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45839</v>
      </c>
      <c r="E137" s="1" t="n">
        <v>46321</v>
      </c>
      <c r="F137" t="inlineStr">
        <is>
          <t>SKÅNE LÄN</t>
        </is>
      </c>
      <c r="G137" t="inlineStr">
        <is>
          <t>HÖRBY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28746-2024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45478</v>
      </c>
      <c r="E138" s="1" t="n">
        <v>46321</v>
      </c>
      <c r="F138" t="inlineStr">
        <is>
          <t>SKÅNE LÄN</t>
        </is>
      </c>
      <c r="G138" t="inlineStr">
        <is>
          <t>HÖRBY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37756-2024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45541</v>
      </c>
      <c r="E139" s="1" t="n">
        <v>46321</v>
      </c>
      <c r="F139" t="inlineStr">
        <is>
          <t>SKÅNE LÄN</t>
        </is>
      </c>
      <c r="G139" t="inlineStr">
        <is>
          <t>HÖRBY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14307-2026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46099</v>
      </c>
      <c r="E140" s="1" t="n">
        <v>46321</v>
      </c>
      <c r="F140" t="inlineStr">
        <is>
          <t>SKÅNE LÄN</t>
        </is>
      </c>
      <c r="G140" t="inlineStr">
        <is>
          <t>HÖRBY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46042</v>
      </c>
      <c r="E141" s="1" t="n">
        <v>46321</v>
      </c>
      <c r="F141" t="inlineStr">
        <is>
          <t>SKÅNE LÄN</t>
        </is>
      </c>
      <c r="G141" t="inlineStr">
        <is>
          <t>HÖRBY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41727-2026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46302</v>
      </c>
      <c r="E142" s="1" t="n">
        <v>46321</v>
      </c>
      <c r="F142" t="inlineStr">
        <is>
          <t>SKÅNE LÄN</t>
        </is>
      </c>
      <c r="G142" t="inlineStr">
        <is>
          <t>HÖRBY</t>
        </is>
      </c>
      <c r="H142" t="inlineStr">
        <is>
          <t>Sveaskog</t>
        </is>
      </c>
      <c r="I142" t="n">
        <v>13.1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46042</v>
      </c>
      <c r="E143" s="1" t="n">
        <v>46321</v>
      </c>
      <c r="F143" t="inlineStr">
        <is>
          <t>SKÅNE LÄN</t>
        </is>
      </c>
      <c r="G143" t="inlineStr">
        <is>
          <t>HÖRBY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37082-2023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45155</v>
      </c>
      <c r="E144" s="1" t="n">
        <v>46321</v>
      </c>
      <c r="F144" t="inlineStr">
        <is>
          <t>SKÅNE LÄN</t>
        </is>
      </c>
      <c r="G144" t="inlineStr">
        <is>
          <t>HÖRBY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34740-2026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46258</v>
      </c>
      <c r="E145" s="1" t="n">
        <v>46321</v>
      </c>
      <c r="F145" t="inlineStr">
        <is>
          <t>SKÅNE LÄN</t>
        </is>
      </c>
      <c r="G145" t="inlineStr">
        <is>
          <t>HÖRBY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9850-2026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46072</v>
      </c>
      <c r="E146" s="1" t="n">
        <v>46321</v>
      </c>
      <c r="F146" t="inlineStr">
        <is>
          <t>SKÅNE LÄN</t>
        </is>
      </c>
      <c r="G146" t="inlineStr">
        <is>
          <t>HÖRBY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34737-2026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46258</v>
      </c>
      <c r="E147" s="1" t="n">
        <v>46321</v>
      </c>
      <c r="F147" t="inlineStr">
        <is>
          <t>SKÅNE LÄN</t>
        </is>
      </c>
      <c r="G147" t="inlineStr">
        <is>
          <t>HÖRBY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3513-2026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46321</v>
      </c>
      <c r="F148" t="inlineStr">
        <is>
          <t>SKÅNE LÄN</t>
        </is>
      </c>
      <c r="G148" t="inlineStr">
        <is>
          <t>HÖRBY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38730-2026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46285</v>
      </c>
      <c r="E149" s="1" t="n">
        <v>46321</v>
      </c>
      <c r="F149" t="inlineStr">
        <is>
          <t>SKÅNE LÄN</t>
        </is>
      </c>
      <c r="G149" t="inlineStr">
        <is>
          <t>HÖRBY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36355-2025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45868</v>
      </c>
      <c r="E150" s="1" t="n">
        <v>46321</v>
      </c>
      <c r="F150" t="inlineStr">
        <is>
          <t>SKÅNE LÄN</t>
        </is>
      </c>
      <c r="G150" t="inlineStr">
        <is>
          <t>HÖRBY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44944</v>
      </c>
      <c r="E151" s="1" t="n">
        <v>46321</v>
      </c>
      <c r="F151" t="inlineStr">
        <is>
          <t>SKÅNE LÄN</t>
        </is>
      </c>
      <c r="G151" t="inlineStr">
        <is>
          <t>HÖRBY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25552-2025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45803</v>
      </c>
      <c r="E152" s="1" t="n">
        <v>46321</v>
      </c>
      <c r="F152" t="inlineStr">
        <is>
          <t>SKÅNE LÄN</t>
        </is>
      </c>
      <c r="G152" t="inlineStr">
        <is>
          <t>HÖRBY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7402-2026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46059</v>
      </c>
      <c r="E153" s="1" t="n">
        <v>46321</v>
      </c>
      <c r="F153" t="inlineStr">
        <is>
          <t>SKÅNE LÄN</t>
        </is>
      </c>
      <c r="G153" t="inlineStr">
        <is>
          <t>HÖRBY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38147-2025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45882</v>
      </c>
      <c r="E154" s="1" t="n">
        <v>46321</v>
      </c>
      <c r="F154" t="inlineStr">
        <is>
          <t>SKÅNE LÄN</t>
        </is>
      </c>
      <c r="G154" t="inlineStr">
        <is>
          <t>HÖRBY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28785-2023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45104</v>
      </c>
      <c r="E155" s="1" t="n">
        <v>46321</v>
      </c>
      <c r="F155" t="inlineStr">
        <is>
          <t>SKÅNE LÄN</t>
        </is>
      </c>
      <c r="G155" t="inlineStr">
        <is>
          <t>HÖRBY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13225-2024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45386</v>
      </c>
      <c r="E156" s="1" t="n">
        <v>46321</v>
      </c>
      <c r="F156" t="inlineStr">
        <is>
          <t>SKÅNE LÄN</t>
        </is>
      </c>
      <c r="G156" t="inlineStr">
        <is>
          <t>HÖRBY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13226-2024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45386</v>
      </c>
      <c r="E157" s="1" t="n">
        <v>46321</v>
      </c>
      <c r="F157" t="inlineStr">
        <is>
          <t>SKÅNE LÄN</t>
        </is>
      </c>
      <c r="G157" t="inlineStr">
        <is>
          <t>HÖRBY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44858</v>
      </c>
      <c r="E158" s="1" t="n">
        <v>46321</v>
      </c>
      <c r="F158" t="inlineStr">
        <is>
          <t>SKÅNE LÄN</t>
        </is>
      </c>
      <c r="G158" t="inlineStr">
        <is>
          <t>HÖRBY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15998-2024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45405</v>
      </c>
      <c r="E159" s="1" t="n">
        <v>46321</v>
      </c>
      <c r="F159" t="inlineStr">
        <is>
          <t>SKÅNE LÄN</t>
        </is>
      </c>
      <c r="G159" t="inlineStr">
        <is>
          <t>HÖRBY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16001-2024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45405</v>
      </c>
      <c r="E160" s="1" t="n">
        <v>46321</v>
      </c>
      <c r="F160" t="inlineStr">
        <is>
          <t>SKÅNE LÄN</t>
        </is>
      </c>
      <c r="G160" t="inlineStr">
        <is>
          <t>HÖRBY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42950-2026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46310</v>
      </c>
      <c r="E161" s="1" t="n">
        <v>46321</v>
      </c>
      <c r="F161" t="inlineStr">
        <is>
          <t>SKÅNE LÄN</t>
        </is>
      </c>
      <c r="G161" t="inlineStr">
        <is>
          <t>HÖRBY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5079-2026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46049</v>
      </c>
      <c r="E162" s="1" t="n">
        <v>46321</v>
      </c>
      <c r="F162" t="inlineStr">
        <is>
          <t>SKÅNE LÄN</t>
        </is>
      </c>
      <c r="G162" t="inlineStr">
        <is>
          <t>HÖRBY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65073-2023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45287</v>
      </c>
      <c r="E163" s="1" t="n">
        <v>46321</v>
      </c>
      <c r="F163" t="inlineStr">
        <is>
          <t>SKÅNE LÄN</t>
        </is>
      </c>
      <c r="G163" t="inlineStr">
        <is>
          <t>HÖRBY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43828-2024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45572</v>
      </c>
      <c r="E164" s="1" t="n">
        <v>46321</v>
      </c>
      <c r="F164" t="inlineStr">
        <is>
          <t>SKÅNE LÄN</t>
        </is>
      </c>
      <c r="G164" t="inlineStr">
        <is>
          <t>HÖRBY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37300-2026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46274</v>
      </c>
      <c r="E165" s="1" t="n">
        <v>46321</v>
      </c>
      <c r="F165" t="inlineStr">
        <is>
          <t>SKÅNE LÄN</t>
        </is>
      </c>
      <c r="G165" t="inlineStr">
        <is>
          <t>HÖRBY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46076</v>
      </c>
      <c r="E166" s="1" t="n">
        <v>46321</v>
      </c>
      <c r="F166" t="inlineStr">
        <is>
          <t>SKÅNE LÄN</t>
        </is>
      </c>
      <c r="G166" t="inlineStr">
        <is>
          <t>HÖRBY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10500-2026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46076</v>
      </c>
      <c r="E167" s="1" t="n">
        <v>46321</v>
      </c>
      <c r="F167" t="inlineStr">
        <is>
          <t>SKÅNE LÄN</t>
        </is>
      </c>
      <c r="G167" t="inlineStr">
        <is>
          <t>HÖRBY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44031-2026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46317</v>
      </c>
      <c r="E168" s="1" t="n">
        <v>46321</v>
      </c>
      <c r="F168" t="inlineStr">
        <is>
          <t>SKÅNE LÄN</t>
        </is>
      </c>
      <c r="G168" t="inlineStr">
        <is>
          <t>HÖRBY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18609-2025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45763</v>
      </c>
      <c r="E169" s="1" t="n">
        <v>46321</v>
      </c>
      <c r="F169" t="inlineStr">
        <is>
          <t>SKÅNE LÄN</t>
        </is>
      </c>
      <c r="G169" t="inlineStr">
        <is>
          <t>HÖRBY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45238</v>
      </c>
      <c r="E170" s="1" t="n">
        <v>46321</v>
      </c>
      <c r="F170" t="inlineStr">
        <is>
          <t>SKÅNE LÄN</t>
        </is>
      </c>
      <c r="G170" t="inlineStr">
        <is>
          <t>HÖRBY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42715-2023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45176</v>
      </c>
      <c r="E171" s="1" t="n">
        <v>46321</v>
      </c>
      <c r="F171" t="inlineStr">
        <is>
          <t>SKÅNE LÄN</t>
        </is>
      </c>
      <c r="G171" t="inlineStr">
        <is>
          <t>HÖRBY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13633-2024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45390</v>
      </c>
      <c r="E172" s="1" t="n">
        <v>46321</v>
      </c>
      <c r="F172" t="inlineStr">
        <is>
          <t>SKÅNE LÄN</t>
        </is>
      </c>
      <c r="G172" t="inlineStr">
        <is>
          <t>HÖRBY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58641-2023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45251</v>
      </c>
      <c r="E173" s="1" t="n">
        <v>46321</v>
      </c>
      <c r="F173" t="inlineStr">
        <is>
          <t>SKÅNE LÄN</t>
        </is>
      </c>
      <c r="G173" t="inlineStr">
        <is>
          <t>HÖRBY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45763</v>
      </c>
      <c r="E174" s="1" t="n">
        <v>46321</v>
      </c>
      <c r="F174" t="inlineStr">
        <is>
          <t>SKÅNE LÄN</t>
        </is>
      </c>
      <c r="G174" t="inlineStr">
        <is>
          <t>HÖRBY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45317</v>
      </c>
      <c r="E175" s="1" t="n">
        <v>46321</v>
      </c>
      <c r="F175" t="inlineStr">
        <is>
          <t>SKÅNE LÄN</t>
        </is>
      </c>
      <c r="G175" t="inlineStr">
        <is>
          <t>HÖRBY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45300</v>
      </c>
      <c r="E176" s="1" t="n">
        <v>46321</v>
      </c>
      <c r="F176" t="inlineStr">
        <is>
          <t>SKÅNE LÄN</t>
        </is>
      </c>
      <c r="G176" t="inlineStr">
        <is>
          <t>HÖRBY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50715-2024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45602</v>
      </c>
      <c r="E177" s="1" t="n">
        <v>46321</v>
      </c>
      <c r="F177" t="inlineStr">
        <is>
          <t>SKÅNE LÄN</t>
        </is>
      </c>
      <c r="G177" t="inlineStr">
        <is>
          <t>HÖRBY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2816-2025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45677</v>
      </c>
      <c r="E178" s="1" t="n">
        <v>46321</v>
      </c>
      <c r="F178" t="inlineStr">
        <is>
          <t>SKÅNE LÄN</t>
        </is>
      </c>
      <c r="G178" t="inlineStr">
        <is>
          <t>HÖRBY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45750</v>
      </c>
      <c r="E179" s="1" t="n">
        <v>46321</v>
      </c>
      <c r="F179" t="inlineStr">
        <is>
          <t>SKÅNE LÄN</t>
        </is>
      </c>
      <c r="G179" t="inlineStr">
        <is>
          <t>HÖRBY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34422-2024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45525</v>
      </c>
      <c r="E180" s="1" t="n">
        <v>46321</v>
      </c>
      <c r="F180" t="inlineStr">
        <is>
          <t>SKÅNE LÄN</t>
        </is>
      </c>
      <c r="G180" t="inlineStr">
        <is>
          <t>HÖRBY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45728</v>
      </c>
      <c r="E181" s="1" t="n">
        <v>46321</v>
      </c>
      <c r="F181" t="inlineStr">
        <is>
          <t>SKÅNE LÄN</t>
        </is>
      </c>
      <c r="G181" t="inlineStr">
        <is>
          <t>HÖRBY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44613-2023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45189</v>
      </c>
      <c r="E182" s="1" t="n">
        <v>46321</v>
      </c>
      <c r="F182" t="inlineStr">
        <is>
          <t>SKÅNE LÄN</t>
        </is>
      </c>
      <c r="G182" t="inlineStr">
        <is>
          <t>HÖRBY</t>
        </is>
      </c>
      <c r="H182" t="inlineStr">
        <is>
          <t>Sveaskog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43937-2023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45187</v>
      </c>
      <c r="E183" s="1" t="n">
        <v>46321</v>
      </c>
      <c r="F183" t="inlineStr">
        <is>
          <t>SKÅNE LÄN</t>
        </is>
      </c>
      <c r="G183" t="inlineStr">
        <is>
          <t>HÖRBY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43939-2023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45187</v>
      </c>
      <c r="E184" s="1" t="n">
        <v>46321</v>
      </c>
      <c r="F184" t="inlineStr">
        <is>
          <t>SKÅNE LÄN</t>
        </is>
      </c>
      <c r="G184" t="inlineStr">
        <is>
          <t>HÖRBY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67426-2021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44523</v>
      </c>
      <c r="E185" s="1" t="n">
        <v>46321</v>
      </c>
      <c r="F185" t="inlineStr">
        <is>
          <t>SKÅNE LÄN</t>
        </is>
      </c>
      <c r="G185" t="inlineStr">
        <is>
          <t>HÖRBY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45680</v>
      </c>
      <c r="E186" s="1" t="n">
        <v>46321</v>
      </c>
      <c r="F186" t="inlineStr">
        <is>
          <t>SKÅNE LÄN</t>
        </is>
      </c>
      <c r="G186" t="inlineStr">
        <is>
          <t>HÖRBY</t>
        </is>
      </c>
      <c r="H186" t="inlineStr">
        <is>
          <t>Kyrkan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45706</v>
      </c>
      <c r="E187" s="1" t="n">
        <v>46321</v>
      </c>
      <c r="F187" t="inlineStr">
        <is>
          <t>SKÅNE LÄN</t>
        </is>
      </c>
      <c r="G187" t="inlineStr">
        <is>
          <t>HÖRBY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18735-2023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45043</v>
      </c>
      <c r="E188" s="1" t="n">
        <v>46321</v>
      </c>
      <c r="F188" t="inlineStr">
        <is>
          <t>SKÅNE LÄN</t>
        </is>
      </c>
      <c r="G188" t="inlineStr">
        <is>
          <t>HÖRBY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28493-2023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45103</v>
      </c>
      <c r="E189" s="1" t="n">
        <v>46321</v>
      </c>
      <c r="F189" t="inlineStr">
        <is>
          <t>SKÅNE LÄN</t>
        </is>
      </c>
      <c r="G189" t="inlineStr">
        <is>
          <t>HÖRBY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36840-2024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45538</v>
      </c>
      <c r="E190" s="1" t="n">
        <v>46321</v>
      </c>
      <c r="F190" t="inlineStr">
        <is>
          <t>SKÅNE LÄN</t>
        </is>
      </c>
      <c r="G190" t="inlineStr">
        <is>
          <t>HÖRBY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60913-2023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45261</v>
      </c>
      <c r="E191" s="1" t="n">
        <v>46321</v>
      </c>
      <c r="F191" t="inlineStr">
        <is>
          <t>SKÅNE LÄN</t>
        </is>
      </c>
      <c r="G191" t="inlineStr">
        <is>
          <t>HÖRBY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8084-2022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44608</v>
      </c>
      <c r="E192" s="1" t="n">
        <v>46321</v>
      </c>
      <c r="F192" t="inlineStr">
        <is>
          <t>SKÅNE LÄN</t>
        </is>
      </c>
      <c r="G192" t="inlineStr">
        <is>
          <t>HÖRBY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28625-2023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45103</v>
      </c>
      <c r="E193" s="1" t="n">
        <v>46321</v>
      </c>
      <c r="F193" t="inlineStr">
        <is>
          <t>SKÅNE LÄN</t>
        </is>
      </c>
      <c r="G193" t="inlineStr">
        <is>
          <t>HÖRBY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13804-2024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45391</v>
      </c>
      <c r="E194" s="1" t="n">
        <v>46321</v>
      </c>
      <c r="F194" t="inlineStr">
        <is>
          <t>SKÅNE LÄN</t>
        </is>
      </c>
      <c r="G194" t="inlineStr">
        <is>
          <t>HÖRBY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45342</v>
      </c>
      <c r="E195" s="1" t="n">
        <v>46321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44935</v>
      </c>
      <c r="E196" s="1" t="n">
        <v>46321</v>
      </c>
      <c r="F196" t="inlineStr">
        <is>
          <t>SKÅNE LÄN</t>
        </is>
      </c>
      <c r="G196" t="inlineStr">
        <is>
          <t>HÖRBY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17073-2023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45034</v>
      </c>
      <c r="E197" s="1" t="n">
        <v>46321</v>
      </c>
      <c r="F197" t="inlineStr">
        <is>
          <t>SKÅNE LÄN</t>
        </is>
      </c>
      <c r="G197" t="inlineStr">
        <is>
          <t>HÖRBY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45315</v>
      </c>
      <c r="E198" s="1" t="n">
        <v>46321</v>
      </c>
      <c r="F198" t="inlineStr">
        <is>
          <t>SKÅNE LÄN</t>
        </is>
      </c>
      <c r="G198" t="inlineStr">
        <is>
          <t>HÖRBY</t>
        </is>
      </c>
      <c r="H198" t="inlineStr">
        <is>
          <t>Kyrkan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31596-2023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45117</v>
      </c>
      <c r="E199" s="1" t="n">
        <v>46321</v>
      </c>
      <c r="F199" t="inlineStr">
        <is>
          <t>SKÅNE LÄN</t>
        </is>
      </c>
      <c r="G199" t="inlineStr">
        <is>
          <t>HÖRBY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54184-2024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45616</v>
      </c>
      <c r="E200" s="1" t="n">
        <v>46321</v>
      </c>
      <c r="F200" t="inlineStr">
        <is>
          <t>SKÅNE LÄN</t>
        </is>
      </c>
      <c r="G200" t="inlineStr">
        <is>
          <t>HÖRBY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43932-2023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45187</v>
      </c>
      <c r="E201" s="1" t="n">
        <v>46321</v>
      </c>
      <c r="F201" t="inlineStr">
        <is>
          <t>SKÅNE LÄN</t>
        </is>
      </c>
      <c r="G201" t="inlineStr">
        <is>
          <t>HÖRBY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43935-2023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45187</v>
      </c>
      <c r="E202" s="1" t="n">
        <v>46321</v>
      </c>
      <c r="F202" t="inlineStr">
        <is>
          <t>SKÅNE LÄN</t>
        </is>
      </c>
      <c r="G202" t="inlineStr">
        <is>
          <t>HÖRBY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20403-2024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45435</v>
      </c>
      <c r="E203" s="1" t="n">
        <v>46321</v>
      </c>
      <c r="F203" t="inlineStr">
        <is>
          <t>SKÅNE LÄN</t>
        </is>
      </c>
      <c r="G203" t="inlineStr">
        <is>
          <t>HÖRBY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3040-2024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45316</v>
      </c>
      <c r="E204" s="1" t="n">
        <v>46321</v>
      </c>
      <c r="F204" t="inlineStr">
        <is>
          <t>SKÅNE LÄN</t>
        </is>
      </c>
      <c r="G204" t="inlineStr">
        <is>
          <t>HÖRBY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44816-2023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45190</v>
      </c>
      <c r="E205" s="1" t="n">
        <v>46321</v>
      </c>
      <c r="F205" t="inlineStr">
        <is>
          <t>SKÅNE LÄN</t>
        </is>
      </c>
      <c r="G205" t="inlineStr">
        <is>
          <t>HÖRBY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47552-2023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45203</v>
      </c>
      <c r="E206" s="1" t="n">
        <v>46321</v>
      </c>
      <c r="F206" t="inlineStr">
        <is>
          <t>SKÅNE LÄN</t>
        </is>
      </c>
      <c r="G206" t="inlineStr">
        <is>
          <t>HÖRBY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45226</v>
      </c>
      <c r="E207" s="1" t="n">
        <v>46321</v>
      </c>
      <c r="F207" t="inlineStr">
        <is>
          <t>SKÅNE LÄN</t>
        </is>
      </c>
      <c r="G207" t="inlineStr">
        <is>
          <t>HÖRBY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45051</v>
      </c>
      <c r="E208" s="1" t="n">
        <v>46321</v>
      </c>
      <c r="F208" t="inlineStr">
        <is>
          <t>SKÅNE LÄN</t>
        </is>
      </c>
      <c r="G208" t="inlineStr">
        <is>
          <t>HÖRBY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43879-2023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45187</v>
      </c>
      <c r="E209" s="1" t="n">
        <v>46321</v>
      </c>
      <c r="F209" t="inlineStr">
        <is>
          <t>SKÅNE LÄN</t>
        </is>
      </c>
      <c r="G209" t="inlineStr">
        <is>
          <t>HÖRBY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45680</v>
      </c>
      <c r="E210" s="1" t="n">
        <v>46321</v>
      </c>
      <c r="F210" t="inlineStr">
        <is>
          <t>SKÅNE LÄN</t>
        </is>
      </c>
      <c r="G210" t="inlineStr">
        <is>
          <t>HÖRBY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49726-2023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45208</v>
      </c>
      <c r="E211" s="1" t="n">
        <v>46321</v>
      </c>
      <c r="F211" t="inlineStr">
        <is>
          <t>SKÅNE LÄN</t>
        </is>
      </c>
      <c r="G211" t="inlineStr">
        <is>
          <t>HÖRBY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28501-2023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45103</v>
      </c>
      <c r="E212" s="1" t="n">
        <v>46321</v>
      </c>
      <c r="F212" t="inlineStr">
        <is>
          <t>SKÅNE LÄN</t>
        </is>
      </c>
      <c r="G212" t="inlineStr">
        <is>
          <t>HÖRBY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33873-2024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45521</v>
      </c>
      <c r="E213" s="1" t="n">
        <v>46321</v>
      </c>
      <c r="F213" t="inlineStr">
        <is>
          <t>SKÅNE LÄN</t>
        </is>
      </c>
      <c r="G213" t="inlineStr">
        <is>
          <t>HÖRBY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58360-2023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45250</v>
      </c>
      <c r="E214" s="1" t="n">
        <v>46321</v>
      </c>
      <c r="F214" t="inlineStr">
        <is>
          <t>SKÅNE LÄN</t>
        </is>
      </c>
      <c r="G214" t="inlineStr">
        <is>
          <t>HÖRBY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39298-2023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46321</v>
      </c>
      <c r="F215" t="inlineStr">
        <is>
          <t>SKÅNE LÄN</t>
        </is>
      </c>
      <c r="G215" t="inlineStr">
        <is>
          <t>HÖRBY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29219-2023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45105</v>
      </c>
      <c r="E216" s="1" t="n">
        <v>46321</v>
      </c>
      <c r="F216" t="inlineStr">
        <is>
          <t>SKÅNE LÄN</t>
        </is>
      </c>
      <c r="G216" t="inlineStr">
        <is>
          <t>HÖRBY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45680</v>
      </c>
      <c r="E217" s="1" t="n">
        <v>46321</v>
      </c>
      <c r="F217" t="inlineStr">
        <is>
          <t>SKÅNE LÄN</t>
        </is>
      </c>
      <c r="G217" t="inlineStr">
        <is>
          <t>HÖRBY</t>
        </is>
      </c>
      <c r="H217" t="inlineStr">
        <is>
          <t>Kyrkan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47637-2023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45203</v>
      </c>
      <c r="E218" s="1" t="n">
        <v>46321</v>
      </c>
      <c r="F218" t="inlineStr">
        <is>
          <t>SKÅNE LÄN</t>
        </is>
      </c>
      <c r="G218" t="inlineStr">
        <is>
          <t>HÖRBY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24670-2024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45460</v>
      </c>
      <c r="E219" s="1" t="n">
        <v>46321</v>
      </c>
      <c r="F219" t="inlineStr">
        <is>
          <t>SKÅNE LÄN</t>
        </is>
      </c>
      <c r="G219" t="inlineStr">
        <is>
          <t>HÖRBY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6081-2023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44959</v>
      </c>
      <c r="E220" s="1" t="n">
        <v>46321</v>
      </c>
      <c r="F220" t="inlineStr">
        <is>
          <t>SKÅNE LÄN</t>
        </is>
      </c>
      <c r="G220" t="inlineStr">
        <is>
          <t>HÖRBY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31114-2024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45502</v>
      </c>
      <c r="E221" s="1" t="n">
        <v>46321</v>
      </c>
      <c r="F221" t="inlineStr">
        <is>
          <t>SKÅNE LÄN</t>
        </is>
      </c>
      <c r="G221" t="inlineStr">
        <is>
          <t>HÖRBY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45728</v>
      </c>
      <c r="E222" s="1" t="n">
        <v>46321</v>
      </c>
      <c r="F222" t="inlineStr">
        <is>
          <t>SKÅNE LÄN</t>
        </is>
      </c>
      <c r="G222" t="inlineStr">
        <is>
          <t>HÖRBY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38684-2022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44814</v>
      </c>
      <c r="E223" s="1" t="n">
        <v>46321</v>
      </c>
      <c r="F223" t="inlineStr">
        <is>
          <t>SKÅNE LÄN</t>
        </is>
      </c>
      <c r="G223" t="inlineStr">
        <is>
          <t>HÖRBY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37757-2024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45541</v>
      </c>
      <c r="E224" s="1" t="n">
        <v>46321</v>
      </c>
      <c r="F224" t="inlineStr">
        <is>
          <t>SKÅNE LÄN</t>
        </is>
      </c>
      <c r="G224" t="inlineStr">
        <is>
          <t>HÖRBY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25183-2023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45079</v>
      </c>
      <c r="E225" s="1" t="n">
        <v>46321</v>
      </c>
      <c r="F225" t="inlineStr">
        <is>
          <t>SKÅNE LÄN</t>
        </is>
      </c>
      <c r="G225" t="inlineStr">
        <is>
          <t>HÖRBY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45572</v>
      </c>
      <c r="E226" s="1" t="n">
        <v>46321</v>
      </c>
      <c r="F226" t="inlineStr">
        <is>
          <t>SKÅNE LÄN</t>
        </is>
      </c>
      <c r="G226" t="inlineStr">
        <is>
          <t>HÖRBY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37276-2024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45540</v>
      </c>
      <c r="E227" s="1" t="n">
        <v>46321</v>
      </c>
      <c r="F227" t="inlineStr">
        <is>
          <t>SKÅNE LÄN</t>
        </is>
      </c>
      <c r="G227" t="inlineStr">
        <is>
          <t>HÖRBY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20595-2024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45436</v>
      </c>
      <c r="E228" s="1" t="n">
        <v>46321</v>
      </c>
      <c r="F228" t="inlineStr">
        <is>
          <t>SKÅNE LÄN</t>
        </is>
      </c>
      <c r="G228" t="inlineStr">
        <is>
          <t>HÖRBY</t>
        </is>
      </c>
      <c r="H228" t="inlineStr">
        <is>
          <t>Sveaskog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3888-2023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45230</v>
      </c>
      <c r="E229" s="1" t="n">
        <v>46321</v>
      </c>
      <c r="F229" t="inlineStr">
        <is>
          <t>SKÅNE LÄN</t>
        </is>
      </c>
      <c r="G229" t="inlineStr">
        <is>
          <t>HÖRBY</t>
        </is>
      </c>
      <c r="I229" t="n">
        <v>13.9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4691-2022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44796</v>
      </c>
      <c r="E230" s="1" t="n">
        <v>46321</v>
      </c>
      <c r="F230" t="inlineStr">
        <is>
          <t>SKÅNE LÄN</t>
        </is>
      </c>
      <c r="G230" t="inlineStr">
        <is>
          <t>HÖRBY</t>
        </is>
      </c>
      <c r="I230" t="n">
        <v>39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734-2025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45722</v>
      </c>
      <c r="E231" s="1" t="n">
        <v>46321</v>
      </c>
      <c r="F231" t="inlineStr">
        <is>
          <t>SKÅNE LÄN</t>
        </is>
      </c>
      <c r="G231" t="inlineStr">
        <is>
          <t>HÖRBY</t>
        </is>
      </c>
      <c r="I231" t="n">
        <v>27.4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144-2026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46042</v>
      </c>
      <c r="E232" s="1" t="n">
        <v>46321</v>
      </c>
      <c r="F232" t="inlineStr">
        <is>
          <t>SKÅNE LÄN</t>
        </is>
      </c>
      <c r="G232" t="inlineStr">
        <is>
          <t>HÖRBY</t>
        </is>
      </c>
      <c r="I232" t="n">
        <v>18.3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220-2026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46051</v>
      </c>
      <c r="E233" s="1" t="n">
        <v>46321</v>
      </c>
      <c r="F233" t="inlineStr">
        <is>
          <t>SKÅNE LÄN</t>
        </is>
      </c>
      <c r="G233" t="inlineStr">
        <is>
          <t>HÖRBY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1874-2026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46321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7.8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1875-2026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46202</v>
      </c>
      <c r="E235" s="1" t="n">
        <v>46321</v>
      </c>
      <c r="F235" t="inlineStr">
        <is>
          <t>SKÅNE LÄN</t>
        </is>
      </c>
      <c r="G235" t="inlineStr">
        <is>
          <t>HÖRBY</t>
        </is>
      </c>
      <c r="H235" t="inlineStr">
        <is>
          <t>Sveaskog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1873-2026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46202</v>
      </c>
      <c r="E236" s="1" t="n">
        <v>46321</v>
      </c>
      <c r="F236" t="inlineStr">
        <is>
          <t>SKÅNE LÄN</t>
        </is>
      </c>
      <c r="G236" t="inlineStr">
        <is>
          <t>HÖRBY</t>
        </is>
      </c>
      <c r="H236" t="inlineStr">
        <is>
          <t>Sveaskog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2026-10-26T03:07:55Z</dcterms:created>
  <dcterms:modified xmlns:dcterms="http://purl.org/dc/terms/" xmlns:xsi="http://www.w3.org/2001/XMLSchema-instance" xsi:type="dcterms:W3CDTF">2026-10-26T03:07:55Z</dcterms:modified>
</cp:coreProperties>
</file>