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46298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46298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46298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46298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46298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46298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46298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46298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46298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46298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Vårärt
Strutbräken
Vätteros</t>
        </is>
      </c>
      <c r="W17">
        <f>HYPERLINK("https://klasma.github.io/Logging_1266/artfynd/A 20193-2024 artfynd.xlsx", "A 20193-2024")</f>
        <v/>
      </c>
      <c r="X17">
        <f>HYPERLINK("https://klasma.github.io/Logging_1266/kartor/A 20193-2024 karta.png", "A 20193-2024")</f>
        <v/>
      </c>
      <c r="Y17">
        <f>HYPERLINK("https://klasma.github.io/Logging_1266/kartor_geotiff/A 20193-2024 georefererad karta.tif", "A 20193-2024")</f>
        <v/>
      </c>
      <c r="AA17">
        <f>HYPERLINK("https://klasma.github.io/Logging_1266/klagomål/A 20193-2024 FSC-klagomål.docx", "A 20193-2024")</f>
        <v/>
      </c>
      <c r="AB17">
        <f>HYPERLINK("https://klasma.github.io/Logging_1266/klagomålsmail/A 20193-2024 FSC-klagomål mail.docx", "A 20193-2024")</f>
        <v/>
      </c>
      <c r="AC17">
        <f>HYPERLINK("https://klasma.github.io/Logging_1266/tillsyn/A 20193-2024 tillsynsbegäran.docx", "A 20193-2024")</f>
        <v/>
      </c>
      <c r="AD17">
        <f>HYPERLINK("https://klasma.github.io/Logging_1266/tillsynsmail/A 20193-2024 tillsynsbegäran mail.docx", "A 20193-2024")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46298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46298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46298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46298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46298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46298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46298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46298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46298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46298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46298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46298</v>
      </c>
      <c r="F30" t="inlineStr">
        <is>
          <t>SKÅNE LÄN</t>
        </is>
      </c>
      <c r="G30" t="inlineStr">
        <is>
          <t>HÖRBY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HYPERLINK("https://klasma.github.io/Logging_1266/artfynd/A 113-2023 artfynd.xlsx", "A 113-2023")</f>
        <v/>
      </c>
      <c r="X30">
        <f>HYPERLINK("https://klasma.github.io/Logging_1266/kartor/A 113-2023 karta.png", "A 113-2023")</f>
        <v/>
      </c>
      <c r="Y30">
        <f>HYPERLINK("https://klasma.github.io/Logging_1266/kartor_geotiff/A 113-2023 georefererad karta.tif", "A 113-2023")</f>
        <v/>
      </c>
      <c r="AA30">
        <f>HYPERLINK("https://klasma.github.io/Logging_1266/klagomål/A 113-2023 FSC-klagomål.docx", "A 113-2023")</f>
        <v/>
      </c>
      <c r="AB30">
        <f>HYPERLINK("https://klasma.github.io/Logging_1266/klagomålsmail/A 113-2023 FSC-klagomål mail.docx", "A 113-2023")</f>
        <v/>
      </c>
      <c r="AC30">
        <f>HYPERLINK("https://klasma.github.io/Logging_1266/tillsyn/A 113-2023 tillsynsbegäran.docx", "A 113-2023")</f>
        <v/>
      </c>
      <c r="AD30">
        <f>HYPERLINK("https://klasma.github.io/Logging_1266/tillsynsmail/A 113-2023 tillsynsbegäran mail.docx", "A 113-2023")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46298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25833-2024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46298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HYPERLINK("https://klasma.github.io/Logging_1266/artfynd/A 25833-2024 artfynd.xlsx", "A 25833-2024")</f>
        <v/>
      </c>
      <c r="X32">
        <f>HYPERLINK("https://klasma.github.io/Logging_1266/kartor/A 25833-2024 karta.png", "A 25833-2024")</f>
        <v/>
      </c>
      <c r="Y32">
        <f>HYPERLINK("https://klasma.github.io/Logging_1266/kartor_geotiff/A 25833-2024 georefererad karta.tif", "A 25833-2024")</f>
        <v/>
      </c>
      <c r="AA32">
        <f>HYPERLINK("https://klasma.github.io/Logging_1266/klagomål/A 25833-2024 FSC-klagomål.docx", "A 25833-2024")</f>
        <v/>
      </c>
      <c r="AB32">
        <f>HYPERLINK("https://klasma.github.io/Logging_1266/klagomålsmail/A 25833-2024 FSC-klagomål mail.docx", "A 25833-2024")</f>
        <v/>
      </c>
      <c r="AC32">
        <f>HYPERLINK("https://klasma.github.io/Logging_1266/tillsyn/A 25833-2024 tillsynsbegäran.docx", "A 25833-2024")</f>
        <v/>
      </c>
      <c r="AD32">
        <f>HYPERLINK("https://klasma.github.io/Logging_1266/tillsynsmail/A 25833-2024 tillsynsbegäran mail.docx", "A 25833-2024")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46298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46298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46298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46298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46298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46298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46298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46298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46298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46298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46298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46298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46298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46298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46298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46298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46298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46298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46298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46298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46298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46298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46298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46298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46298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46298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46298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46298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46298</v>
      </c>
      <c r="F61" t="inlineStr">
        <is>
          <t>SKÅNE LÄN</t>
        </is>
      </c>
      <c r="G61" t="inlineStr">
        <is>
          <t>HÖRBY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46298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46029</v>
      </c>
      <c r="E63" s="1" t="n">
        <v>46298</v>
      </c>
      <c r="F63" t="inlineStr">
        <is>
          <t>SKÅNE LÄN</t>
        </is>
      </c>
      <c r="G63" t="inlineStr">
        <is>
          <t>HÖRBY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46298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46298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46298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45128</v>
      </c>
      <c r="E67" s="1" t="n">
        <v>46298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46298</v>
      </c>
      <c r="F68" t="inlineStr">
        <is>
          <t>SKÅNE LÄN</t>
        </is>
      </c>
      <c r="G68" t="inlineStr">
        <is>
          <t>HÖRBY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46298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46298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45845</v>
      </c>
      <c r="E71" s="1" t="n">
        <v>46298</v>
      </c>
      <c r="F71" t="inlineStr">
        <is>
          <t>SKÅNE LÄN</t>
        </is>
      </c>
      <c r="G71" t="inlineStr">
        <is>
          <t>HÖRBY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46298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46298</v>
      </c>
      <c r="F73" t="inlineStr">
        <is>
          <t>SKÅNE LÄN</t>
        </is>
      </c>
      <c r="G73" t="inlineStr">
        <is>
          <t>HÖRBY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46298</v>
      </c>
      <c r="F74" t="inlineStr">
        <is>
          <t>SKÅNE LÄN</t>
        </is>
      </c>
      <c r="G74" t="inlineStr">
        <is>
          <t>HÖRBY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43711-2024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45569</v>
      </c>
      <c r="E75" s="1" t="n">
        <v>46298</v>
      </c>
      <c r="F75" t="inlineStr">
        <is>
          <t>SKÅNE LÄN</t>
        </is>
      </c>
      <c r="G75" t="inlineStr">
        <is>
          <t>HÖRBY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46050</v>
      </c>
      <c r="E76" s="1" t="n">
        <v>46298</v>
      </c>
      <c r="F76" t="inlineStr">
        <is>
          <t>SKÅNE LÄN</t>
        </is>
      </c>
      <c r="G76" t="inlineStr">
        <is>
          <t>HÖRBY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46298</v>
      </c>
      <c r="F77" t="inlineStr">
        <is>
          <t>SKÅNE LÄN</t>
        </is>
      </c>
      <c r="G77" t="inlineStr">
        <is>
          <t>HÖRBY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45551</v>
      </c>
      <c r="E78" s="1" t="n">
        <v>46298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45300</v>
      </c>
      <c r="E79" s="1" t="n">
        <v>46298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46298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46298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46298</v>
      </c>
      <c r="F82" t="inlineStr">
        <is>
          <t>SKÅNE LÄN</t>
        </is>
      </c>
      <c r="G82" t="inlineStr">
        <is>
          <t>HÖRBY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8260-2026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46298</v>
      </c>
      <c r="F83" t="inlineStr">
        <is>
          <t>SKÅNE LÄN</t>
        </is>
      </c>
      <c r="G83" t="inlineStr">
        <is>
          <t>HÖRBY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46064</v>
      </c>
      <c r="E84" s="1" t="n">
        <v>46298</v>
      </c>
      <c r="F84" t="inlineStr">
        <is>
          <t>SKÅNE LÄN</t>
        </is>
      </c>
      <c r="G84" t="inlineStr">
        <is>
          <t>HÖRBY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46298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46298</v>
      </c>
      <c r="F86" t="inlineStr">
        <is>
          <t>SKÅNE LÄN</t>
        </is>
      </c>
      <c r="G86" t="inlineStr">
        <is>
          <t>HÖRBY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46298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46298</v>
      </c>
      <c r="F88" t="inlineStr">
        <is>
          <t>SKÅNE LÄN</t>
        </is>
      </c>
      <c r="G88" t="inlineStr">
        <is>
          <t>HÖRBY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46298</v>
      </c>
      <c r="F89" t="inlineStr">
        <is>
          <t>SKÅNE LÄN</t>
        </is>
      </c>
      <c r="G89" t="inlineStr">
        <is>
          <t>HÖRBY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46298</v>
      </c>
      <c r="F90" t="inlineStr">
        <is>
          <t>SKÅNE LÄN</t>
        </is>
      </c>
      <c r="G90" t="inlineStr">
        <is>
          <t>HÖRBY</t>
        </is>
      </c>
      <c r="H90" t="inlineStr">
        <is>
          <t>Kyrkan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51757-2025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45951</v>
      </c>
      <c r="E91" s="1" t="n">
        <v>46298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44944</v>
      </c>
      <c r="E92" s="1" t="n">
        <v>46298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46298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46298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46298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46298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46298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46298</v>
      </c>
      <c r="F98" t="inlineStr">
        <is>
          <t>SKÅNE LÄN</t>
        </is>
      </c>
      <c r="G98" t="inlineStr">
        <is>
          <t>HÖRBY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46298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46298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45966</v>
      </c>
      <c r="E101" s="1" t="n">
        <v>46298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46298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46298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46298</v>
      </c>
      <c r="F104" t="inlineStr">
        <is>
          <t>SKÅNE LÄN</t>
        </is>
      </c>
      <c r="G104" t="inlineStr">
        <is>
          <t>HÖRBY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46099</v>
      </c>
      <c r="E105" s="1" t="n">
        <v>46298</v>
      </c>
      <c r="F105" t="inlineStr">
        <is>
          <t>SKÅNE LÄN</t>
        </is>
      </c>
      <c r="G105" t="inlineStr">
        <is>
          <t>HÖRBY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46298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46298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46298</v>
      </c>
      <c r="F108" t="inlineStr">
        <is>
          <t>SKÅNE LÄN</t>
        </is>
      </c>
      <c r="G108" t="inlineStr">
        <is>
          <t>HÖRBY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46298</v>
      </c>
      <c r="F109" t="inlineStr">
        <is>
          <t>SKÅNE LÄN</t>
        </is>
      </c>
      <c r="G109" t="inlineStr">
        <is>
          <t>HÖRBY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46298</v>
      </c>
      <c r="F110" t="inlineStr">
        <is>
          <t>SKÅNE LÄN</t>
        </is>
      </c>
      <c r="G110" t="inlineStr">
        <is>
          <t>HÖRBY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46298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46072</v>
      </c>
      <c r="E112" s="1" t="n">
        <v>46298</v>
      </c>
      <c r="F112" t="inlineStr">
        <is>
          <t>SKÅNE LÄN</t>
        </is>
      </c>
      <c r="G112" t="inlineStr">
        <is>
          <t>HÖRBY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46298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37082-2023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45155</v>
      </c>
      <c r="E114" s="1" t="n">
        <v>46298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46298</v>
      </c>
      <c r="F115" t="inlineStr">
        <is>
          <t>SKÅNE LÄN</t>
        </is>
      </c>
      <c r="G115" t="inlineStr">
        <is>
          <t>HÖRBY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45989</v>
      </c>
      <c r="E116" s="1" t="n">
        <v>46298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46298</v>
      </c>
      <c r="F117" t="inlineStr">
        <is>
          <t>SKÅNE LÄN</t>
        </is>
      </c>
      <c r="G117" t="inlineStr">
        <is>
          <t>HÖRBY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46298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46298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46298</v>
      </c>
      <c r="F120" t="inlineStr">
        <is>
          <t>SKÅNE LÄN</t>
        </is>
      </c>
      <c r="G120" t="inlineStr">
        <is>
          <t>HÖRBY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46298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46298</v>
      </c>
      <c r="F122" t="inlineStr">
        <is>
          <t>SKÅNE LÄN</t>
        </is>
      </c>
      <c r="G122" t="inlineStr">
        <is>
          <t>HÖRBY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46298</v>
      </c>
      <c r="F123" t="inlineStr">
        <is>
          <t>SKÅNE LÄN</t>
        </is>
      </c>
      <c r="G123" t="inlineStr">
        <is>
          <t>HÖRBY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46298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46298</v>
      </c>
      <c r="F125" t="inlineStr">
        <is>
          <t>SKÅNE LÄN</t>
        </is>
      </c>
      <c r="G125" t="inlineStr">
        <is>
          <t>HÖRBY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46298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46298</v>
      </c>
      <c r="F127" t="inlineStr">
        <is>
          <t>SKÅNE LÄN</t>
        </is>
      </c>
      <c r="G127" t="inlineStr">
        <is>
          <t>HÖRBY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46298</v>
      </c>
      <c r="F128" t="inlineStr">
        <is>
          <t>SKÅNE LÄN</t>
        </is>
      </c>
      <c r="G128" t="inlineStr">
        <is>
          <t>HÖRBY</t>
        </is>
      </c>
      <c r="H128" t="inlineStr">
        <is>
          <t>Kyrkan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46298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46298</v>
      </c>
      <c r="F130" t="inlineStr">
        <is>
          <t>SKÅNE LÄN</t>
        </is>
      </c>
      <c r="G130" t="inlineStr">
        <is>
          <t>HÖRBY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46298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67426-2021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44523</v>
      </c>
      <c r="E132" s="1" t="n">
        <v>46298</v>
      </c>
      <c r="F132" t="inlineStr">
        <is>
          <t>SKÅNE LÄN</t>
        </is>
      </c>
      <c r="G132" t="inlineStr">
        <is>
          <t>HÖRBY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46298</v>
      </c>
      <c r="F133" t="inlineStr">
        <is>
          <t>SKÅNE LÄN</t>
        </is>
      </c>
      <c r="G133" t="inlineStr">
        <is>
          <t>HÖRBY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45287</v>
      </c>
      <c r="E134" s="1" t="n">
        <v>46298</v>
      </c>
      <c r="F134" t="inlineStr">
        <is>
          <t>SKÅNE LÄN</t>
        </is>
      </c>
      <c r="G134" t="inlineStr">
        <is>
          <t>HÖRBY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46298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43685-2022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44837</v>
      </c>
      <c r="E136" s="1" t="n">
        <v>46298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46298</v>
      </c>
      <c r="F137" t="inlineStr">
        <is>
          <t>SKÅNE LÄN</t>
        </is>
      </c>
      <c r="G137" t="inlineStr">
        <is>
          <t>HÖRBY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46298</v>
      </c>
      <c r="F138" t="inlineStr">
        <is>
          <t>SKÅNE LÄN</t>
        </is>
      </c>
      <c r="G138" t="inlineStr">
        <is>
          <t>HÖRBY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46298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45868</v>
      </c>
      <c r="E140" s="1" t="n">
        <v>46298</v>
      </c>
      <c r="F140" t="inlineStr">
        <is>
          <t>SKÅNE LÄN</t>
        </is>
      </c>
      <c r="G140" t="inlineStr">
        <is>
          <t>HÖRBY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46298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46298</v>
      </c>
      <c r="F142" t="inlineStr">
        <is>
          <t>SKÅNE LÄN</t>
        </is>
      </c>
      <c r="G142" t="inlineStr">
        <is>
          <t>HÖRBY</t>
        </is>
      </c>
      <c r="H142" t="inlineStr">
        <is>
          <t>Kyrkan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46298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46298</v>
      </c>
      <c r="F144" t="inlineStr">
        <is>
          <t>SKÅNE LÄN</t>
        </is>
      </c>
      <c r="G144" t="inlineStr">
        <is>
          <t>HÖRBY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46298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46298</v>
      </c>
      <c r="F146" t="inlineStr">
        <is>
          <t>SKÅNE LÄN</t>
        </is>
      </c>
      <c r="G146" t="inlineStr">
        <is>
          <t>HÖRBY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46298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45236</v>
      </c>
      <c r="E148" s="1" t="n">
        <v>46298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46298</v>
      </c>
      <c r="F149" t="inlineStr">
        <is>
          <t>SKÅNE LÄN</t>
        </is>
      </c>
      <c r="G149" t="inlineStr">
        <is>
          <t>HÖRBY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46298</v>
      </c>
      <c r="F150" t="inlineStr">
        <is>
          <t>SKÅNE LÄN</t>
        </is>
      </c>
      <c r="G150" t="inlineStr">
        <is>
          <t>HÖRBY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46298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46298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46298</v>
      </c>
      <c r="F153" t="inlineStr">
        <is>
          <t>SKÅNE LÄN</t>
        </is>
      </c>
      <c r="G153" t="inlineStr">
        <is>
          <t>HÖRBY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46298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46298</v>
      </c>
      <c r="F155" t="inlineStr">
        <is>
          <t>SKÅNE LÄN</t>
        </is>
      </c>
      <c r="G155" t="inlineStr">
        <is>
          <t>HÖRBY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45762</v>
      </c>
      <c r="E156" s="1" t="n">
        <v>46298</v>
      </c>
      <c r="F156" t="inlineStr">
        <is>
          <t>SKÅNE LÄN</t>
        </is>
      </c>
      <c r="G156" t="inlineStr">
        <is>
          <t>HÖRBY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46298</v>
      </c>
      <c r="F157" t="inlineStr">
        <is>
          <t>SKÅNE LÄN</t>
        </is>
      </c>
      <c r="G157" t="inlineStr">
        <is>
          <t>HÖRBY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46041</v>
      </c>
      <c r="E158" s="1" t="n">
        <v>46298</v>
      </c>
      <c r="F158" t="inlineStr">
        <is>
          <t>SKÅNE LÄN</t>
        </is>
      </c>
      <c r="G158" t="inlineStr">
        <is>
          <t>HÖRBY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46298</v>
      </c>
      <c r="F159" t="inlineStr">
        <is>
          <t>SKÅNE LÄN</t>
        </is>
      </c>
      <c r="G159" t="inlineStr">
        <is>
          <t>HÖRBY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46298</v>
      </c>
      <c r="F160" t="inlineStr">
        <is>
          <t>SKÅNE LÄN</t>
        </is>
      </c>
      <c r="G160" t="inlineStr">
        <is>
          <t>HÖRBY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46298</v>
      </c>
      <c r="F161" t="inlineStr">
        <is>
          <t>SKÅNE LÄN</t>
        </is>
      </c>
      <c r="G161" t="inlineStr">
        <is>
          <t>HÖRBY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46298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44834</v>
      </c>
      <c r="E163" s="1" t="n">
        <v>46298</v>
      </c>
      <c r="F163" t="inlineStr">
        <is>
          <t>SKÅNE LÄN</t>
        </is>
      </c>
      <c r="G163" t="inlineStr">
        <is>
          <t>HÖRBY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46298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46298</v>
      </c>
      <c r="F165" t="inlineStr">
        <is>
          <t>SKÅNE LÄN</t>
        </is>
      </c>
      <c r="G165" t="inlineStr">
        <is>
          <t>HÖRBY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46298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46298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46298</v>
      </c>
      <c r="F168" t="inlineStr">
        <is>
          <t>SKÅNE LÄN</t>
        </is>
      </c>
      <c r="G168" t="inlineStr">
        <is>
          <t>HÖRBY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29138-2026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46202</v>
      </c>
      <c r="E169" s="1" t="n">
        <v>46298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46298</v>
      </c>
      <c r="F170" t="inlineStr">
        <is>
          <t>SKÅNE LÄN</t>
        </is>
      </c>
      <c r="G170" t="inlineStr">
        <is>
          <t>HÖRBY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29135-2026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46202</v>
      </c>
      <c r="E171" s="1" t="n">
        <v>46298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46298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46298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46298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46298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58641-2023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45251</v>
      </c>
      <c r="E176" s="1" t="n">
        <v>46298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46298</v>
      </c>
      <c r="F177" t="inlineStr">
        <is>
          <t>SKÅNE LÄN</t>
        </is>
      </c>
      <c r="G177" t="inlineStr">
        <is>
          <t>HÖRBY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23606-2026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46162</v>
      </c>
      <c r="E178" s="1" t="n">
        <v>46298</v>
      </c>
      <c r="F178" t="inlineStr">
        <is>
          <t>SKÅNE LÄN</t>
        </is>
      </c>
      <c r="G178" t="inlineStr">
        <is>
          <t>HÖRBY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46298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34740-2026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46298</v>
      </c>
      <c r="F180" t="inlineStr">
        <is>
          <t>SKÅNE LÄN</t>
        </is>
      </c>
      <c r="G180" t="inlineStr">
        <is>
          <t>HÖRBY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45405</v>
      </c>
      <c r="E181" s="1" t="n">
        <v>46298</v>
      </c>
      <c r="F181" t="inlineStr">
        <is>
          <t>SKÅNE LÄN</t>
        </is>
      </c>
      <c r="G181" t="inlineStr">
        <is>
          <t>HÖRBY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46298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46298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46298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46298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46298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46298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46298</v>
      </c>
      <c r="F188" t="inlineStr">
        <is>
          <t>SKÅNE LÄN</t>
        </is>
      </c>
      <c r="G188" t="inlineStr">
        <is>
          <t>HÖRBY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46298</v>
      </c>
      <c r="F189" t="inlineStr">
        <is>
          <t>SKÅNE LÄN</t>
        </is>
      </c>
      <c r="G189" t="inlineStr">
        <is>
          <t>HÖRBY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34422-2024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45525</v>
      </c>
      <c r="E190" s="1" t="n">
        <v>46298</v>
      </c>
      <c r="F190" t="inlineStr">
        <is>
          <t>SKÅNE LÄN</t>
        </is>
      </c>
      <c r="G190" t="inlineStr">
        <is>
          <t>HÖRBY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46298</v>
      </c>
      <c r="F191" t="inlineStr">
        <is>
          <t>SKÅNE LÄN</t>
        </is>
      </c>
      <c r="G191" t="inlineStr">
        <is>
          <t>HÖRBY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46298</v>
      </c>
      <c r="F192" t="inlineStr">
        <is>
          <t>SKÅNE LÄN</t>
        </is>
      </c>
      <c r="G192" t="inlineStr">
        <is>
          <t>HÖRBY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45238</v>
      </c>
      <c r="E193" s="1" t="n">
        <v>46298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46298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46298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46298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46298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46298</v>
      </c>
      <c r="F198" t="inlineStr">
        <is>
          <t>SKÅNE LÄN</t>
        </is>
      </c>
      <c r="G198" t="inlineStr">
        <is>
          <t>HÖRBY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46298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46298</v>
      </c>
      <c r="F200" t="inlineStr">
        <is>
          <t>SKÅNE LÄN</t>
        </is>
      </c>
      <c r="G200" t="inlineStr">
        <is>
          <t>HÖRBY</t>
        </is>
      </c>
      <c r="H200" t="inlineStr">
        <is>
          <t>Sveaskog</t>
        </is>
      </c>
      <c r="I200" t="n">
        <v>11.2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44693</v>
      </c>
      <c r="E201" s="1" t="n">
        <v>46298</v>
      </c>
      <c r="F201" t="inlineStr">
        <is>
          <t>SKÅNE LÄN</t>
        </is>
      </c>
      <c r="G201" t="inlineStr">
        <is>
          <t>HÖRBY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46286</v>
      </c>
      <c r="E202" s="1" t="n">
        <v>46298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46298</v>
      </c>
      <c r="F203" t="inlineStr">
        <is>
          <t>SKÅNE LÄN</t>
        </is>
      </c>
      <c r="G203" t="inlineStr">
        <is>
          <t>HÖRBY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46298</v>
      </c>
      <c r="F204" t="inlineStr">
        <is>
          <t>SKÅNE LÄN</t>
        </is>
      </c>
      <c r="G204" t="inlineStr">
        <is>
          <t>HÖRBY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46298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46298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44810</v>
      </c>
      <c r="E207" s="1" t="n">
        <v>46298</v>
      </c>
      <c r="F207" t="inlineStr">
        <is>
          <t>SKÅNE LÄN</t>
        </is>
      </c>
      <c r="G207" t="inlineStr">
        <is>
          <t>HÖRBY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45203</v>
      </c>
      <c r="E208" s="1" t="n">
        <v>46298</v>
      </c>
      <c r="F208" t="inlineStr">
        <is>
          <t>SKÅNE LÄN</t>
        </is>
      </c>
      <c r="G208" t="inlineStr">
        <is>
          <t>HÖRBY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45521</v>
      </c>
      <c r="E209" s="1" t="n">
        <v>46298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46285</v>
      </c>
      <c r="E210" s="1" t="n">
        <v>46298</v>
      </c>
      <c r="F210" t="inlineStr">
        <is>
          <t>SKÅNE LÄN</t>
        </is>
      </c>
      <c r="G210" t="inlineStr">
        <is>
          <t>HÖRBY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46298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46298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46298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46298</v>
      </c>
      <c r="F214" t="inlineStr">
        <is>
          <t>SKÅNE LÄN</t>
        </is>
      </c>
      <c r="G214" t="inlineStr">
        <is>
          <t>HÖRBY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46298</v>
      </c>
      <c r="F215" t="inlineStr">
        <is>
          <t>SKÅNE LÄN</t>
        </is>
      </c>
      <c r="G215" t="inlineStr">
        <is>
          <t>HÖRBY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46298</v>
      </c>
      <c r="F216" t="inlineStr">
        <is>
          <t>SKÅNE LÄN</t>
        </is>
      </c>
      <c r="G216" t="inlineStr">
        <is>
          <t>HÖRBY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46298</v>
      </c>
      <c r="F217" t="inlineStr">
        <is>
          <t>SKÅNE LÄN</t>
        </is>
      </c>
      <c r="G217" t="inlineStr">
        <is>
          <t>HÖRBY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45051</v>
      </c>
      <c r="E218" s="1" t="n">
        <v>46298</v>
      </c>
      <c r="F218" t="inlineStr">
        <is>
          <t>SKÅNE LÄN</t>
        </is>
      </c>
      <c r="G218" t="inlineStr">
        <is>
          <t>HÖRBY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46298</v>
      </c>
      <c r="F219" t="inlineStr">
        <is>
          <t>SKÅNE LÄN</t>
        </is>
      </c>
      <c r="G219" t="inlineStr">
        <is>
          <t>HÖRBY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45699</v>
      </c>
      <c r="E220" s="1" t="n">
        <v>46298</v>
      </c>
      <c r="F220" t="inlineStr">
        <is>
          <t>SKÅNE LÄN</t>
        </is>
      </c>
      <c r="G220" t="inlineStr">
        <is>
          <t>HÖRBY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45079</v>
      </c>
      <c r="E221" s="1" t="n">
        <v>46298</v>
      </c>
      <c r="F221" t="inlineStr">
        <is>
          <t>SKÅNE LÄN</t>
        </is>
      </c>
      <c r="G221" t="inlineStr">
        <is>
          <t>HÖRBY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46298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46298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46298</v>
      </c>
      <c r="F224" t="inlineStr">
        <is>
          <t>SKÅNE LÄN</t>
        </is>
      </c>
      <c r="G224" t="inlineStr">
        <is>
          <t>HÖRBY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46298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46298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46298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46298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46298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46298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46298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46298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46298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2026-10-03T01:58:41Z</dcterms:created>
  <dcterms:modified xmlns:dcterms="http://purl.org/dc/terms/" xmlns:xsi="http://www.w3.org/2001/XMLSchema-instance" xsi:type="dcterms:W3CDTF">2026-10-03T01:58:42Z</dcterms:modified>
</cp:coreProperties>
</file>