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46320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46320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46320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46320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46320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46320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46320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46320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46320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46320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46320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46320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46320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46320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46320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24823-2026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46320</v>
      </c>
      <c r="F24" t="inlineStr">
        <is>
          <t>SKÅNE LÄN</t>
        </is>
      </c>
      <c r="G24" t="inlineStr">
        <is>
          <t>HÖRBY</t>
        </is>
      </c>
      <c r="H24" t="inlineStr">
        <is>
          <t>Sveaskog</t>
        </is>
      </c>
      <c r="I24" t="n">
        <v>5.1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Tandrot</t>
        </is>
      </c>
      <c r="W24">
        <f>HYPERLINK("https://klasma.github.io/Logging_1266/artfynd/A 24823-2026 artfynd.xlsx", "A 24823-2026")</f>
        <v/>
      </c>
      <c r="X24">
        <f>HYPERLINK("https://klasma.github.io/Logging_1266/kartor/A 24823-2026 karta.png", "A 24823-2026")</f>
        <v/>
      </c>
      <c r="Y24">
        <f>HYPERLINK("https://klasma.github.io/Logging_1266/kartor_geotiff/A 24823-2026 georefererad karta.tif", "A 24823-2026")</f>
        <v/>
      </c>
      <c r="AA24">
        <f>HYPERLINK("https://klasma.github.io/Logging_1266/klagomål/A 24823-2026 FSC-klagomål.docx", "A 24823-2026")</f>
        <v/>
      </c>
      <c r="AB24">
        <f>HYPERLINK("https://klasma.github.io/Logging_1266/klagomålsmail/A 24823-2026 FSC-klagomål mail.docx", "A 24823-2026")</f>
        <v/>
      </c>
      <c r="AC24">
        <f>HYPERLINK("https://klasma.github.io/Logging_1266/tillsyn/A 24823-2026 tillsynsbegäran.docx", "A 24823-2026")</f>
        <v/>
      </c>
      <c r="AD24">
        <f>HYPERLINK("https://klasma.github.io/Logging_1266/tillsynsmail/A 24823-2026 tillsynsbegäran mail.docx", "A 24823-2026")</f>
        <v/>
      </c>
    </row>
    <row r="25" ht="15" customHeight="1">
      <c r="A25" t="inlineStr">
        <is>
          <t>A 16519-2026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46320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16519-2026 artfynd.xlsx", "A 16519-2026")</f>
        <v/>
      </c>
      <c r="X25">
        <f>HYPERLINK("https://klasma.github.io/Logging_1266/kartor/A 16519-2026 karta.png", "A 16519-2026")</f>
        <v/>
      </c>
      <c r="Y25">
        <f>HYPERLINK("https://klasma.github.io/Logging_1266/kartor_geotiff/A 16519-2026 georefererad karta.tif", "A 16519-2026")</f>
        <v/>
      </c>
      <c r="AA25">
        <f>HYPERLINK("https://klasma.github.io/Logging_1266/klagomål/A 16519-2026 FSC-klagomål.docx", "A 16519-2026")</f>
        <v/>
      </c>
      <c r="AB25">
        <f>HYPERLINK("https://klasma.github.io/Logging_1266/klagomålsmail/A 16519-2026 FSC-klagomål mail.docx", "A 16519-2026")</f>
        <v/>
      </c>
      <c r="AC25">
        <f>HYPERLINK("https://klasma.github.io/Logging_1266/tillsyn/A 16519-2026 tillsynsbegäran.docx", "A 16519-2026")</f>
        <v/>
      </c>
      <c r="AD25">
        <f>HYPERLINK("https://klasma.github.io/Logging_1266/tillsynsmail/A 16519-2026 tillsynsbegäran mail.docx", "A 16519-2026")</f>
        <v/>
      </c>
    </row>
    <row r="26" ht="15" customHeight="1">
      <c r="A26" t="inlineStr">
        <is>
          <t>A 31284-2026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46218</v>
      </c>
      <c r="E26" s="1" t="n">
        <v>46320</v>
      </c>
      <c r="F26" t="inlineStr">
        <is>
          <t>SKÅNE LÄN</t>
        </is>
      </c>
      <c r="G26" t="inlineStr">
        <is>
          <t>HÖRBY</t>
        </is>
      </c>
      <c r="I26" t="n">
        <v>6.8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Vanlig groda</t>
        </is>
      </c>
      <c r="W26">
        <f>HYPERLINK("https://klasma.github.io/Logging_1266/artfynd/A 31284-2026 artfynd.xlsx", "A 31284-2026")</f>
        <v/>
      </c>
      <c r="X26">
        <f>HYPERLINK("https://klasma.github.io/Logging_1266/kartor/A 31284-2026 karta.png", "A 31284-2026")</f>
        <v/>
      </c>
      <c r="Y26">
        <f>HYPERLINK("https://klasma.github.io/Logging_1266/kartor_geotiff/A 31284-2026 georefererad karta.tif", "A 31284-2026")</f>
        <v/>
      </c>
      <c r="AA26">
        <f>HYPERLINK("https://klasma.github.io/Logging_1266/klagomål/A 31284-2026 FSC-klagomål.docx", "A 31284-2026")</f>
        <v/>
      </c>
      <c r="AB26">
        <f>HYPERLINK("https://klasma.github.io/Logging_1266/klagomålsmail/A 31284-2026 FSC-klagomål mail.docx", "A 31284-2026")</f>
        <v/>
      </c>
      <c r="AC26">
        <f>HYPERLINK("https://klasma.github.io/Logging_1266/tillsyn/A 31284-2026 tillsynsbegäran.docx", "A 31284-2026")</f>
        <v/>
      </c>
      <c r="AD26">
        <f>HYPERLINK("https://klasma.github.io/Logging_1266/tillsynsmail/A 31284-2026 tillsynsbegäran mail.docx", "A 31284-2026")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46320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25479-2025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45802</v>
      </c>
      <c r="E28" s="1" t="n">
        <v>46320</v>
      </c>
      <c r="F28" t="inlineStr">
        <is>
          <t>SKÅNE LÄN</t>
        </is>
      </c>
      <c r="G28" t="inlineStr">
        <is>
          <t>HÖRBY</t>
        </is>
      </c>
      <c r="I28" t="n">
        <v>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Lundvårlök</t>
        </is>
      </c>
      <c r="W28">
        <f>HYPERLINK("https://klasma.github.io/Logging_1266/artfynd/A 25479-2025 artfynd.xlsx", "A 25479-2025")</f>
        <v/>
      </c>
      <c r="X28">
        <f>HYPERLINK("https://klasma.github.io/Logging_1266/kartor/A 25479-2025 karta.png", "A 25479-2025")</f>
        <v/>
      </c>
      <c r="Y28">
        <f>HYPERLINK("https://klasma.github.io/Logging_1266/kartor_geotiff/A 25479-2025 georefererad karta.tif", "A 25479-2025")</f>
        <v/>
      </c>
      <c r="AA28">
        <f>HYPERLINK("https://klasma.github.io/Logging_1266/klagomål/A 25479-2025 FSC-klagomål.docx", "A 25479-2025")</f>
        <v/>
      </c>
      <c r="AB28">
        <f>HYPERLINK("https://klasma.github.io/Logging_1266/klagomålsmail/A 25479-2025 FSC-klagomål mail.docx", "A 25479-2025")</f>
        <v/>
      </c>
      <c r="AC28">
        <f>HYPERLINK("https://klasma.github.io/Logging_1266/tillsyn/A 25479-2025 tillsynsbegäran.docx", "A 25479-2025")</f>
        <v/>
      </c>
      <c r="AD28">
        <f>HYPERLINK("https://klasma.github.io/Logging_1266/tillsynsmail/A 25479-2025 tillsynsbegäran mail.docx", "A 25479-2025")</f>
        <v/>
      </c>
    </row>
    <row r="29" ht="15" customHeight="1">
      <c r="A29" t="inlineStr">
        <is>
          <t>A 30165-2026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46206</v>
      </c>
      <c r="E29" s="1" t="n">
        <v>46320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30165-2026 artfynd.xlsx", "A 30165-2026")</f>
        <v/>
      </c>
      <c r="X29">
        <f>HYPERLINK("https://klasma.github.io/Logging_1266/kartor/A 30165-2026 karta.png", "A 30165-2026")</f>
        <v/>
      </c>
      <c r="Y29">
        <f>HYPERLINK("https://klasma.github.io/Logging_1266/kartor_geotiff/A 30165-2026 georefererad karta.tif", "A 30165-2026")</f>
        <v/>
      </c>
      <c r="AA29">
        <f>HYPERLINK("https://klasma.github.io/Logging_1266/klagomål/A 30165-2026 FSC-klagomål.docx", "A 30165-2026")</f>
        <v/>
      </c>
      <c r="AB29">
        <f>HYPERLINK("https://klasma.github.io/Logging_1266/klagomålsmail/A 30165-2026 FSC-klagomål mail.docx", "A 30165-2026")</f>
        <v/>
      </c>
      <c r="AC29">
        <f>HYPERLINK("https://klasma.github.io/Logging_1266/tillsyn/A 30165-2026 tillsynsbegäran.docx", "A 30165-2026")</f>
        <v/>
      </c>
      <c r="AD29">
        <f>HYPERLINK("https://klasma.github.io/Logging_1266/tillsynsmail/A 30165-2026 tillsynsbegäran mail.docx", "A 30165-2026")</f>
        <v/>
      </c>
    </row>
    <row r="30" ht="15" customHeight="1">
      <c r="A30" t="inlineStr">
        <is>
          <t>A 29129-2026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46320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10.5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Ekticka</t>
        </is>
      </c>
      <c r="W30">
        <f>HYPERLINK("https://klasma.github.io/Logging_1266/artfynd/A 29129-2026 artfynd.xlsx", "A 29129-2026")</f>
        <v/>
      </c>
      <c r="X30">
        <f>HYPERLINK("https://klasma.github.io/Logging_1266/kartor/A 29129-2026 karta.png", "A 29129-2026")</f>
        <v/>
      </c>
      <c r="Y30">
        <f>HYPERLINK("https://klasma.github.io/Logging_1266/kartor_geotiff/A 29129-2026 georefererad karta.tif", "A 29129-2026")</f>
        <v/>
      </c>
      <c r="AA30">
        <f>HYPERLINK("https://klasma.github.io/Logging_1266/klagomål/A 29129-2026 FSC-klagomål.docx", "A 29129-2026")</f>
        <v/>
      </c>
      <c r="AB30">
        <f>HYPERLINK("https://klasma.github.io/Logging_1266/klagomålsmail/A 29129-2026 FSC-klagomål mail.docx", "A 29129-2026")</f>
        <v/>
      </c>
      <c r="AC30">
        <f>HYPERLINK("https://klasma.github.io/Logging_1266/tillsyn/A 29129-2026 tillsynsbegäran.docx", "A 29129-2026")</f>
        <v/>
      </c>
      <c r="AD30">
        <f>HYPERLINK("https://klasma.github.io/Logging_1266/tillsynsmail/A 29129-2026 tillsynsbegäran mail.docx", "A 29129-2026")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46320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47612-2023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46320</v>
      </c>
      <c r="F32" t="inlineStr">
        <is>
          <t>SKÅNE LÄN</t>
        </is>
      </c>
      <c r="G32" t="inlineStr">
        <is>
          <t>HÖRBY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47612-2023 artfynd.xlsx", "A 47612-2023")</f>
        <v/>
      </c>
      <c r="X32">
        <f>HYPERLINK("https://klasma.github.io/Logging_1266/kartor/A 47612-2023 karta.png", "A 47612-2023")</f>
        <v/>
      </c>
      <c r="Y32">
        <f>HYPERLINK("https://klasma.github.io/Logging_1266/kartor_geotiff/A 47612-2023 georefererad karta.tif", "A 47612-2023")</f>
        <v/>
      </c>
      <c r="AA32">
        <f>HYPERLINK("https://klasma.github.io/Logging_1266/klagomål/A 47612-2023 FSC-klagomål.docx", "A 47612-2023")</f>
        <v/>
      </c>
      <c r="AB32">
        <f>HYPERLINK("https://klasma.github.io/Logging_1266/klagomålsmail/A 47612-2023 FSC-klagomål mail.docx", "A 47612-2023")</f>
        <v/>
      </c>
      <c r="AC32">
        <f>HYPERLINK("https://klasma.github.io/Logging_1266/tillsyn/A 47612-2023 tillsynsbegäran.docx", "A 47612-2023")</f>
        <v/>
      </c>
      <c r="AD32">
        <f>HYPERLINK("https://klasma.github.io/Logging_1266/tillsynsmail/A 47612-2023 tillsynsbegäran mail.docx", "A 47612-2023")</f>
        <v/>
      </c>
    </row>
    <row r="33" ht="15" customHeight="1">
      <c r="A33" t="inlineStr">
        <is>
          <t>A 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46320</v>
      </c>
      <c r="F33" t="inlineStr">
        <is>
          <t>SKÅNE LÄN</t>
        </is>
      </c>
      <c r="G33" t="inlineStr">
        <is>
          <t>HÖRBY</t>
        </is>
      </c>
      <c r="I33" t="n">
        <v>5.1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HYPERLINK("https://klasma.github.io/Logging_1266/artfynd/A 113-2023 artfynd.xlsx", "A 113-2023")</f>
        <v/>
      </c>
      <c r="X33">
        <f>HYPERLINK("https://klasma.github.io/Logging_1266/kartor/A 113-2023 karta.png", "A 113-2023")</f>
        <v/>
      </c>
      <c r="Y33">
        <f>HYPERLINK("https://klasma.github.io/Logging_1266/kartor_geotiff/A 113-2023 georefererad karta.tif", "A 113-2023")</f>
        <v/>
      </c>
      <c r="AA33">
        <f>HYPERLINK("https://klasma.github.io/Logging_1266/klagomål/A 113-2023 FSC-klagomål.docx", "A 113-2023")</f>
        <v/>
      </c>
      <c r="AB33">
        <f>HYPERLINK("https://klasma.github.io/Logging_1266/klagomålsmail/A 113-2023 FSC-klagomål mail.docx", "A 113-2023")</f>
        <v/>
      </c>
      <c r="AC33">
        <f>HYPERLINK("https://klasma.github.io/Logging_1266/tillsyn/A 113-2023 tillsynsbegäran.docx", "A 113-2023")</f>
        <v/>
      </c>
      <c r="AD33">
        <f>HYPERLINK("https://klasma.github.io/Logging_1266/tillsynsmail/A 113-2023 tillsynsbegäran mail.docx", "A 113-2023")</f>
        <v/>
      </c>
    </row>
    <row r="34" ht="15" customHeight="1">
      <c r="A34" t="inlineStr">
        <is>
          <t>A 25833-2024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46320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HYPERLINK("https://klasma.github.io/Logging_1266/artfynd/A 25833-2024 artfynd.xlsx", "A 25833-2024")</f>
        <v/>
      </c>
      <c r="X34">
        <f>HYPERLINK("https://klasma.github.io/Logging_1266/kartor/A 25833-2024 karta.png", "A 25833-2024")</f>
        <v/>
      </c>
      <c r="Y34">
        <f>HYPERLINK("https://klasma.github.io/Logging_1266/kartor_geotiff/A 25833-2024 georefererad karta.tif", "A 25833-2024")</f>
        <v/>
      </c>
      <c r="AA34">
        <f>HYPERLINK("https://klasma.github.io/Logging_1266/klagomål/A 25833-2024 FSC-klagomål.docx", "A 25833-2024")</f>
        <v/>
      </c>
      <c r="AB34">
        <f>HYPERLINK("https://klasma.github.io/Logging_1266/klagomålsmail/A 25833-2024 FSC-klagomål mail.docx", "A 25833-2024")</f>
        <v/>
      </c>
      <c r="AC34">
        <f>HYPERLINK("https://klasma.github.io/Logging_1266/tillsyn/A 25833-2024 tillsynsbegäran.docx", "A 25833-2024")</f>
        <v/>
      </c>
      <c r="AD34">
        <f>HYPERLINK("https://klasma.github.io/Logging_1266/tillsynsmail/A 25833-2024 tillsynsbegäran mail.docx", "A 25833-2024")</f>
        <v/>
      </c>
    </row>
    <row r="35" ht="15" customHeight="1">
      <c r="A35" t="inlineStr">
        <is>
          <t>A 40376-2023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46320</v>
      </c>
      <c r="F35" t="inlineStr">
        <is>
          <t>SKÅNE LÄN</t>
        </is>
      </c>
      <c r="G35" t="inlineStr">
        <is>
          <t>HÖRBY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HYPERLINK("https://klasma.github.io/Logging_1266/artfynd/A 40376-2023 artfynd.xlsx", "A 40376-2023")</f>
        <v/>
      </c>
      <c r="X35">
        <f>HYPERLINK("https://klasma.github.io/Logging_1266/kartor/A 40376-2023 karta.png", "A 40376-2023")</f>
        <v/>
      </c>
      <c r="Y35">
        <f>HYPERLINK("https://klasma.github.io/Logging_1266/kartor_geotiff/A 40376-2023 georefererad karta.tif", "A 40376-2023")</f>
        <v/>
      </c>
      <c r="AA35">
        <f>HYPERLINK("https://klasma.github.io/Logging_1266/klagomål/A 40376-2023 FSC-klagomål.docx", "A 40376-2023")</f>
        <v/>
      </c>
      <c r="AB35">
        <f>HYPERLINK("https://klasma.github.io/Logging_1266/klagomålsmail/A 40376-2023 FSC-klagomål mail.docx", "A 40376-2023")</f>
        <v/>
      </c>
      <c r="AC35">
        <f>HYPERLINK("https://klasma.github.io/Logging_1266/tillsyn/A 40376-2023 tillsynsbegäran.docx", "A 40376-2023")</f>
        <v/>
      </c>
      <c r="AD35">
        <f>HYPERLINK("https://klasma.github.io/Logging_1266/tillsynsmail/A 40376-2023 tillsynsbegäran mail.docx", "A 40376-2023")</f>
        <v/>
      </c>
      <c r="AE35">
        <f>HYPERLINK("https://klasma.github.io/Logging_1266/fåglar/A 40376-2023 prioriterade fågelarter.docx", "A 40376-2023")</f>
        <v/>
      </c>
    </row>
    <row r="36" ht="15" customHeight="1">
      <c r="A36" t="inlineStr">
        <is>
          <t>A 31115-2024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46320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HYPERLINK("https://klasma.github.io/Logging_1266/artfynd/A 31115-2024 artfynd.xlsx", "A 31115-2024")</f>
        <v/>
      </c>
      <c r="X36">
        <f>HYPERLINK("https://klasma.github.io/Logging_1266/kartor/A 31115-2024 karta.png", "A 31115-2024")</f>
        <v/>
      </c>
      <c r="Y36">
        <f>HYPERLINK("https://klasma.github.io/Logging_1266/kartor_geotiff/A 31115-2024 georefererad karta.tif", "A 31115-2024")</f>
        <v/>
      </c>
      <c r="AA36">
        <f>HYPERLINK("https://klasma.github.io/Logging_1266/klagomål/A 31115-2024 FSC-klagomål.docx", "A 31115-2024")</f>
        <v/>
      </c>
      <c r="AB36">
        <f>HYPERLINK("https://klasma.github.io/Logging_1266/klagomålsmail/A 31115-2024 FSC-klagomål mail.docx", "A 31115-2024")</f>
        <v/>
      </c>
      <c r="AC36">
        <f>HYPERLINK("https://klasma.github.io/Logging_1266/tillsyn/A 31115-2024 tillsynsbegäran.docx", "A 31115-2024")</f>
        <v/>
      </c>
      <c r="AD36">
        <f>HYPERLINK("https://klasma.github.io/Logging_1266/tillsynsmail/A 31115-2024 tillsynsbegäran mail.docx", "A 31115-2024")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46320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46320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46320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46320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46320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44837</v>
      </c>
      <c r="E51" s="1" t="n">
        <v>46320</v>
      </c>
      <c r="F51" t="inlineStr">
        <is>
          <t>SKÅNE LÄN</t>
        </is>
      </c>
      <c r="G51" t="inlineStr">
        <is>
          <t>HÖRBY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46320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24724-2024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45460</v>
      </c>
      <c r="E53" s="1" t="n">
        <v>46320</v>
      </c>
      <c r="F53" t="inlineStr">
        <is>
          <t>SKÅNE LÄN</t>
        </is>
      </c>
      <c r="G53" t="inlineStr">
        <is>
          <t>HÖRBY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46320</v>
      </c>
      <c r="F54" t="inlineStr">
        <is>
          <t>SKÅNE LÄN</t>
        </is>
      </c>
      <c r="G54" t="inlineStr">
        <is>
          <t>HÖRBY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46320</v>
      </c>
      <c r="F55" t="inlineStr">
        <is>
          <t>SKÅNE LÄN</t>
        </is>
      </c>
      <c r="G55" t="inlineStr">
        <is>
          <t>HÖRBY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45699</v>
      </c>
      <c r="E56" s="1" t="n">
        <v>46320</v>
      </c>
      <c r="F56" t="inlineStr">
        <is>
          <t>SKÅNE LÄN</t>
        </is>
      </c>
      <c r="G56" t="inlineStr">
        <is>
          <t>HÖRBY</t>
        </is>
      </c>
      <c r="H56" t="inlineStr">
        <is>
          <t>Kommuner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46320</v>
      </c>
      <c r="F57" t="inlineStr">
        <is>
          <t>SKÅNE LÄN</t>
        </is>
      </c>
      <c r="G57" t="inlineStr">
        <is>
          <t>HÖRBY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46320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44775</v>
      </c>
      <c r="E59" s="1" t="n">
        <v>46320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46320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46320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44946</v>
      </c>
      <c r="E62" s="1" t="n">
        <v>46320</v>
      </c>
      <c r="F62" t="inlineStr">
        <is>
          <t>SKÅNE LÄN</t>
        </is>
      </c>
      <c r="G62" t="inlineStr">
        <is>
          <t>HÖRBY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46320</v>
      </c>
      <c r="F63" t="inlineStr">
        <is>
          <t>SKÅNE LÄN</t>
        </is>
      </c>
      <c r="G63" t="inlineStr">
        <is>
          <t>HÖRBY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46051</v>
      </c>
      <c r="E64" s="1" t="n">
        <v>46320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46320</v>
      </c>
      <c r="F65" t="inlineStr">
        <is>
          <t>SKÅNE LÄN</t>
        </is>
      </c>
      <c r="G65" t="inlineStr">
        <is>
          <t>HÖRBY</t>
        </is>
      </c>
      <c r="H65" t="inlineStr">
        <is>
          <t>Kyrkan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18369-2025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46320</v>
      </c>
      <c r="F66" t="inlineStr">
        <is>
          <t>SKÅNE LÄN</t>
        </is>
      </c>
      <c r="G66" t="inlineStr">
        <is>
          <t>HÖRBY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46320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46320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46320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46320</v>
      </c>
      <c r="F70" t="inlineStr">
        <is>
          <t>SKÅNE LÄN</t>
        </is>
      </c>
      <c r="G70" t="inlineStr">
        <is>
          <t>HÖRBY</t>
        </is>
      </c>
      <c r="I70" t="n">
        <v>18.7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46320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46320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46320</v>
      </c>
      <c r="F73" t="inlineStr">
        <is>
          <t>SKÅNE LÄN</t>
        </is>
      </c>
      <c r="G73" t="inlineStr">
        <is>
          <t>HÖRBY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46320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46041</v>
      </c>
      <c r="E75" s="1" t="n">
        <v>46320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45128</v>
      </c>
      <c r="E76" s="1" t="n">
        <v>46320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46320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46320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51757-2025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45951</v>
      </c>
      <c r="E79" s="1" t="n">
        <v>46320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46320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46320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46320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46320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19420-2022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46320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46320</v>
      </c>
      <c r="F85" t="inlineStr">
        <is>
          <t>SKÅNE LÄN</t>
        </is>
      </c>
      <c r="G85" t="inlineStr">
        <is>
          <t>HÖRBY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46320</v>
      </c>
      <c r="F86" t="inlineStr">
        <is>
          <t>SKÅNE LÄN</t>
        </is>
      </c>
      <c r="G86" t="inlineStr">
        <is>
          <t>HÖRBY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46320</v>
      </c>
      <c r="F87" t="inlineStr">
        <is>
          <t>SKÅNE LÄN</t>
        </is>
      </c>
      <c r="G87" t="inlineStr">
        <is>
          <t>HÖRBY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55304-2025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45970</v>
      </c>
      <c r="E88" s="1" t="n">
        <v>46320</v>
      </c>
      <c r="F88" t="inlineStr">
        <is>
          <t>SKÅNE LÄN</t>
        </is>
      </c>
      <c r="G88" t="inlineStr">
        <is>
          <t>HÖRBY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55306-2025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45970</v>
      </c>
      <c r="E89" s="1" t="n">
        <v>46320</v>
      </c>
      <c r="F89" t="inlineStr">
        <is>
          <t>SKÅNE LÄN</t>
        </is>
      </c>
      <c r="G89" t="inlineStr">
        <is>
          <t>HÖRBY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46320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46320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29138-2026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46202</v>
      </c>
      <c r="E92" s="1" t="n">
        <v>46320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46320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29135-2026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46202</v>
      </c>
      <c r="E94" s="1" t="n">
        <v>46320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29137-2026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46202</v>
      </c>
      <c r="E95" s="1" t="n">
        <v>46320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46202</v>
      </c>
      <c r="E96" s="1" t="n">
        <v>46320</v>
      </c>
      <c r="F96" t="inlineStr">
        <is>
          <t>SKÅNE LÄN</t>
        </is>
      </c>
      <c r="G96" t="inlineStr">
        <is>
          <t>HÖRBY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46320</v>
      </c>
      <c r="F97" t="inlineStr">
        <is>
          <t>SKÅNE LÄN</t>
        </is>
      </c>
      <c r="G97" t="inlineStr">
        <is>
          <t>HÖRBY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46320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46320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46320</v>
      </c>
      <c r="F100" t="inlineStr">
        <is>
          <t>SKÅNE LÄN</t>
        </is>
      </c>
      <c r="G100" t="inlineStr">
        <is>
          <t>HÖRBY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23606-2026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46162</v>
      </c>
      <c r="E101" s="1" t="n">
        <v>46320</v>
      </c>
      <c r="F101" t="inlineStr">
        <is>
          <t>SKÅNE LÄN</t>
        </is>
      </c>
      <c r="G101" t="inlineStr">
        <is>
          <t>HÖRBY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46320</v>
      </c>
      <c r="F102" t="inlineStr">
        <is>
          <t>SKÅNE LÄN</t>
        </is>
      </c>
      <c r="G102" t="inlineStr">
        <is>
          <t>HÖRBY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45970</v>
      </c>
      <c r="E103" s="1" t="n">
        <v>46320</v>
      </c>
      <c r="F103" t="inlineStr">
        <is>
          <t>SKÅNE LÄN</t>
        </is>
      </c>
      <c r="G103" t="inlineStr">
        <is>
          <t>HÖRBY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46320</v>
      </c>
      <c r="F104" t="inlineStr">
        <is>
          <t>SKÅNE LÄN</t>
        </is>
      </c>
      <c r="G104" t="inlineStr">
        <is>
          <t>HÖRBY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46320</v>
      </c>
      <c r="F105" t="inlineStr">
        <is>
          <t>SKÅNE LÄN</t>
        </is>
      </c>
      <c r="G105" t="inlineStr">
        <is>
          <t>HÖRBY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46280</v>
      </c>
      <c r="E106" s="1" t="n">
        <v>46320</v>
      </c>
      <c r="F106" t="inlineStr">
        <is>
          <t>SKÅNE LÄN</t>
        </is>
      </c>
      <c r="G106" t="inlineStr">
        <is>
          <t>HÖRBY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45673</v>
      </c>
      <c r="E107" s="1" t="n">
        <v>46320</v>
      </c>
      <c r="F107" t="inlineStr">
        <is>
          <t>SKÅNE LÄN</t>
        </is>
      </c>
      <c r="G107" t="inlineStr">
        <is>
          <t>HÖRBY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46320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46320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46320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46320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46320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46286</v>
      </c>
      <c r="E113" s="1" t="n">
        <v>46320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46320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46320</v>
      </c>
      <c r="F115" t="inlineStr">
        <is>
          <t>SKÅNE LÄN</t>
        </is>
      </c>
      <c r="G115" t="inlineStr">
        <is>
          <t>HÖRBY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46320</v>
      </c>
      <c r="F116" t="inlineStr">
        <is>
          <t>SKÅNE LÄN</t>
        </is>
      </c>
      <c r="G116" t="inlineStr">
        <is>
          <t>HÖRBY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46320</v>
      </c>
      <c r="F117" t="inlineStr">
        <is>
          <t>SKÅNE LÄN</t>
        </is>
      </c>
      <c r="G117" t="inlineStr">
        <is>
          <t>HÖRBY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46320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11.2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36689-2024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45537</v>
      </c>
      <c r="E119" s="1" t="n">
        <v>46320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46320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46320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45569</v>
      </c>
      <c r="E122" s="1" t="n">
        <v>46320</v>
      </c>
      <c r="F122" t="inlineStr">
        <is>
          <t>SKÅNE LÄN</t>
        </is>
      </c>
      <c r="G122" t="inlineStr">
        <is>
          <t>HÖRBY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46320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46320</v>
      </c>
      <c r="F124" t="inlineStr">
        <is>
          <t>SKÅNE LÄN</t>
        </is>
      </c>
      <c r="G124" t="inlineStr">
        <is>
          <t>HÖRBY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39481-2026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46289</v>
      </c>
      <c r="E125" s="1" t="n">
        <v>46320</v>
      </c>
      <c r="F125" t="inlineStr">
        <is>
          <t>SKÅNE LÄN</t>
        </is>
      </c>
      <c r="G125" t="inlineStr">
        <is>
          <t>HÖRBY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46320</v>
      </c>
      <c r="F126" t="inlineStr">
        <is>
          <t>SKÅNE LÄN</t>
        </is>
      </c>
      <c r="G126" t="inlineStr">
        <is>
          <t>HÖRBY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46320</v>
      </c>
      <c r="F127" t="inlineStr">
        <is>
          <t>SKÅNE LÄN</t>
        </is>
      </c>
      <c r="G127" t="inlineStr">
        <is>
          <t>HÖRBY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46320</v>
      </c>
      <c r="F128" t="inlineStr">
        <is>
          <t>SKÅNE LÄN</t>
        </is>
      </c>
      <c r="G128" t="inlineStr">
        <is>
          <t>HÖRBY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45818</v>
      </c>
      <c r="E129" s="1" t="n">
        <v>46320</v>
      </c>
      <c r="F129" t="inlineStr">
        <is>
          <t>SKÅNE LÄN</t>
        </is>
      </c>
      <c r="G129" t="inlineStr">
        <is>
          <t>HÖRBY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46320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46320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46320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46320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46320</v>
      </c>
      <c r="F134" t="inlineStr">
        <is>
          <t>SKÅNE LÄN</t>
        </is>
      </c>
      <c r="G134" t="inlineStr">
        <is>
          <t>HÖRBY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45315</v>
      </c>
      <c r="E135" s="1" t="n">
        <v>46320</v>
      </c>
      <c r="F135" t="inlineStr">
        <is>
          <t>SKÅNE LÄN</t>
        </is>
      </c>
      <c r="G135" t="inlineStr">
        <is>
          <t>HÖRBY</t>
        </is>
      </c>
      <c r="H135" t="inlineStr">
        <is>
          <t>Kyrkan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46320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46320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45478</v>
      </c>
      <c r="E138" s="1" t="n">
        <v>46320</v>
      </c>
      <c r="F138" t="inlineStr">
        <is>
          <t>SKÅNE LÄN</t>
        </is>
      </c>
      <c r="G138" t="inlineStr">
        <is>
          <t>HÖRBY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46320</v>
      </c>
      <c r="F139" t="inlineStr">
        <is>
          <t>SKÅNE LÄN</t>
        </is>
      </c>
      <c r="G139" t="inlineStr">
        <is>
          <t>HÖRBY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46320</v>
      </c>
      <c r="F140" t="inlineStr">
        <is>
          <t>SKÅNE LÄN</t>
        </is>
      </c>
      <c r="G140" t="inlineStr">
        <is>
          <t>HÖRBY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46320</v>
      </c>
      <c r="F141" t="inlineStr">
        <is>
          <t>SKÅNE LÄN</t>
        </is>
      </c>
      <c r="G141" t="inlineStr">
        <is>
          <t>HÖRBY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46302</v>
      </c>
      <c r="E142" s="1" t="n">
        <v>46320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13.1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46320</v>
      </c>
      <c r="F143" t="inlineStr">
        <is>
          <t>SKÅNE LÄN</t>
        </is>
      </c>
      <c r="G143" t="inlineStr">
        <is>
          <t>HÖRBY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37082-2023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45155</v>
      </c>
      <c r="E144" s="1" t="n">
        <v>46320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46320</v>
      </c>
      <c r="F145" t="inlineStr">
        <is>
          <t>SKÅNE LÄN</t>
        </is>
      </c>
      <c r="G145" t="inlineStr">
        <is>
          <t>HÖRBY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46320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46320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46320</v>
      </c>
      <c r="F148" t="inlineStr">
        <is>
          <t>SKÅNE LÄN</t>
        </is>
      </c>
      <c r="G148" t="inlineStr">
        <is>
          <t>HÖRBY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46285</v>
      </c>
      <c r="E149" s="1" t="n">
        <v>46320</v>
      </c>
      <c r="F149" t="inlineStr">
        <is>
          <t>SKÅNE LÄN</t>
        </is>
      </c>
      <c r="G149" t="inlineStr">
        <is>
          <t>HÖRBY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45868</v>
      </c>
      <c r="E150" s="1" t="n">
        <v>46320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46320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46320</v>
      </c>
      <c r="F152" t="inlineStr">
        <is>
          <t>SKÅNE LÄN</t>
        </is>
      </c>
      <c r="G152" t="inlineStr">
        <is>
          <t>HÖRBY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46320</v>
      </c>
      <c r="F153" t="inlineStr">
        <is>
          <t>SKÅNE LÄN</t>
        </is>
      </c>
      <c r="G153" t="inlineStr">
        <is>
          <t>HÖRBY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46320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28785-2023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45104</v>
      </c>
      <c r="E155" s="1" t="n">
        <v>46320</v>
      </c>
      <c r="F155" t="inlineStr">
        <is>
          <t>SKÅNE LÄN</t>
        </is>
      </c>
      <c r="G155" t="inlineStr">
        <is>
          <t>HÖRBY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46320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46320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46320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46320</v>
      </c>
      <c r="F159" t="inlineStr">
        <is>
          <t>SKÅNE LÄN</t>
        </is>
      </c>
      <c r="G159" t="inlineStr">
        <is>
          <t>HÖRBY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46320</v>
      </c>
      <c r="F160" t="inlineStr">
        <is>
          <t>SKÅNE LÄN</t>
        </is>
      </c>
      <c r="G160" t="inlineStr">
        <is>
          <t>HÖRBY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46310</v>
      </c>
      <c r="E161" s="1" t="n">
        <v>46320</v>
      </c>
      <c r="F161" t="inlineStr">
        <is>
          <t>SKÅNE LÄN</t>
        </is>
      </c>
      <c r="G161" t="inlineStr">
        <is>
          <t>HÖRBY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46320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45287</v>
      </c>
      <c r="E163" s="1" t="n">
        <v>46320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46320</v>
      </c>
      <c r="F164" t="inlineStr">
        <is>
          <t>SKÅNE LÄN</t>
        </is>
      </c>
      <c r="G164" t="inlineStr">
        <is>
          <t>HÖRBY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46320</v>
      </c>
      <c r="F165" t="inlineStr">
        <is>
          <t>SKÅNE LÄN</t>
        </is>
      </c>
      <c r="G165" t="inlineStr">
        <is>
          <t>HÖRBY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46320</v>
      </c>
      <c r="F166" t="inlineStr">
        <is>
          <t>SKÅNE LÄN</t>
        </is>
      </c>
      <c r="G166" t="inlineStr">
        <is>
          <t>HÖRBY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46320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46317</v>
      </c>
      <c r="E168" s="1" t="n">
        <v>46320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46320</v>
      </c>
      <c r="F169" t="inlineStr">
        <is>
          <t>SKÅNE LÄN</t>
        </is>
      </c>
      <c r="G169" t="inlineStr">
        <is>
          <t>HÖRBY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46320</v>
      </c>
      <c r="F170" t="inlineStr">
        <is>
          <t>SKÅNE LÄN</t>
        </is>
      </c>
      <c r="G170" t="inlineStr">
        <is>
          <t>HÖRBY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46320</v>
      </c>
      <c r="F171" t="inlineStr">
        <is>
          <t>SKÅNE LÄN</t>
        </is>
      </c>
      <c r="G171" t="inlineStr">
        <is>
          <t>HÖRBY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46320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45251</v>
      </c>
      <c r="E173" s="1" t="n">
        <v>46320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46320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46320</v>
      </c>
      <c r="F175" t="inlineStr">
        <is>
          <t>SKÅNE LÄN</t>
        </is>
      </c>
      <c r="G175" t="inlineStr">
        <is>
          <t>HÖRBY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46320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46320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45677</v>
      </c>
      <c r="E178" s="1" t="n">
        <v>46320</v>
      </c>
      <c r="F178" t="inlineStr">
        <is>
          <t>SKÅNE LÄN</t>
        </is>
      </c>
      <c r="G178" t="inlineStr">
        <is>
          <t>HÖRBY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46320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46320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46320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46320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46320</v>
      </c>
      <c r="F183" t="inlineStr">
        <is>
          <t>SKÅNE LÄN</t>
        </is>
      </c>
      <c r="G183" t="inlineStr">
        <is>
          <t>HÖRBY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46320</v>
      </c>
      <c r="F184" t="inlineStr">
        <is>
          <t>SKÅNE LÄN</t>
        </is>
      </c>
      <c r="G184" t="inlineStr">
        <is>
          <t>HÖRBY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67426-2021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46320</v>
      </c>
      <c r="F185" t="inlineStr">
        <is>
          <t>SKÅNE LÄN</t>
        </is>
      </c>
      <c r="G185" t="inlineStr">
        <is>
          <t>HÖRBY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46320</v>
      </c>
      <c r="F186" t="inlineStr">
        <is>
          <t>SKÅNE LÄN</t>
        </is>
      </c>
      <c r="G186" t="inlineStr">
        <is>
          <t>HÖRBY</t>
        </is>
      </c>
      <c r="H186" t="inlineStr">
        <is>
          <t>Kyrkan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46320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46320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46320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45538</v>
      </c>
      <c r="E190" s="1" t="n">
        <v>46320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45261</v>
      </c>
      <c r="E191" s="1" t="n">
        <v>46320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44608</v>
      </c>
      <c r="E192" s="1" t="n">
        <v>46320</v>
      </c>
      <c r="F192" t="inlineStr">
        <is>
          <t>SKÅNE LÄN</t>
        </is>
      </c>
      <c r="G192" t="inlineStr">
        <is>
          <t>HÖRBY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46320</v>
      </c>
      <c r="F193" t="inlineStr">
        <is>
          <t>SKÅNE LÄN</t>
        </is>
      </c>
      <c r="G193" t="inlineStr">
        <is>
          <t>HÖRBY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46320</v>
      </c>
      <c r="F194" t="inlineStr">
        <is>
          <t>SKÅNE LÄN</t>
        </is>
      </c>
      <c r="G194" t="inlineStr">
        <is>
          <t>HÖRBY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45342</v>
      </c>
      <c r="E195" s="1" t="n">
        <v>46320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46320</v>
      </c>
      <c r="F196" t="inlineStr">
        <is>
          <t>SKÅNE LÄN</t>
        </is>
      </c>
      <c r="G196" t="inlineStr">
        <is>
          <t>HÖRBY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46320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46320</v>
      </c>
      <c r="F198" t="inlineStr">
        <is>
          <t>SKÅNE LÄN</t>
        </is>
      </c>
      <c r="G198" t="inlineStr">
        <is>
          <t>HÖRBY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46320</v>
      </c>
      <c r="F199" t="inlineStr">
        <is>
          <t>SKÅNE LÄN</t>
        </is>
      </c>
      <c r="G199" t="inlineStr">
        <is>
          <t>HÖRBY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45616</v>
      </c>
      <c r="E200" s="1" t="n">
        <v>46320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46320</v>
      </c>
      <c r="F201" t="inlineStr">
        <is>
          <t>SKÅNE LÄN</t>
        </is>
      </c>
      <c r="G201" t="inlineStr">
        <is>
          <t>HÖRBY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46320</v>
      </c>
      <c r="F202" t="inlineStr">
        <is>
          <t>SKÅNE LÄN</t>
        </is>
      </c>
      <c r="G202" t="inlineStr">
        <is>
          <t>HÖRBY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45435</v>
      </c>
      <c r="E203" s="1" t="n">
        <v>46320</v>
      </c>
      <c r="F203" t="inlineStr">
        <is>
          <t>SKÅNE LÄN</t>
        </is>
      </c>
      <c r="G203" t="inlineStr">
        <is>
          <t>HÖRBY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45316</v>
      </c>
      <c r="E204" s="1" t="n">
        <v>46320</v>
      </c>
      <c r="F204" t="inlineStr">
        <is>
          <t>SKÅNE LÄN</t>
        </is>
      </c>
      <c r="G204" t="inlineStr">
        <is>
          <t>HÖRBY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46320</v>
      </c>
      <c r="F205" t="inlineStr">
        <is>
          <t>SKÅNE LÄN</t>
        </is>
      </c>
      <c r="G205" t="inlineStr">
        <is>
          <t>HÖRBY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46320</v>
      </c>
      <c r="F206" t="inlineStr">
        <is>
          <t>SKÅNE LÄN</t>
        </is>
      </c>
      <c r="G206" t="inlineStr">
        <is>
          <t>HÖRBY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46320</v>
      </c>
      <c r="F207" t="inlineStr">
        <is>
          <t>SKÅNE LÄN</t>
        </is>
      </c>
      <c r="G207" t="inlineStr">
        <is>
          <t>HÖRBY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46320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46320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46320</v>
      </c>
      <c r="F210" t="inlineStr">
        <is>
          <t>SKÅNE LÄN</t>
        </is>
      </c>
      <c r="G210" t="inlineStr">
        <is>
          <t>HÖRBY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46320</v>
      </c>
      <c r="F211" t="inlineStr">
        <is>
          <t>SKÅNE LÄN</t>
        </is>
      </c>
      <c r="G211" t="inlineStr">
        <is>
          <t>HÖRBY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46320</v>
      </c>
      <c r="F212" t="inlineStr">
        <is>
          <t>SKÅNE LÄN</t>
        </is>
      </c>
      <c r="G212" t="inlineStr">
        <is>
          <t>HÖRBY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45521</v>
      </c>
      <c r="E213" s="1" t="n">
        <v>46320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46320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46320</v>
      </c>
      <c r="F215" t="inlineStr">
        <is>
          <t>SKÅNE LÄN</t>
        </is>
      </c>
      <c r="G215" t="inlineStr">
        <is>
          <t>HÖRBY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46320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46320</v>
      </c>
      <c r="F217" t="inlineStr">
        <is>
          <t>SKÅNE LÄN</t>
        </is>
      </c>
      <c r="G217" t="inlineStr">
        <is>
          <t>HÖRBY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46320</v>
      </c>
      <c r="F218" t="inlineStr">
        <is>
          <t>SKÅNE LÄN</t>
        </is>
      </c>
      <c r="G218" t="inlineStr">
        <is>
          <t>HÖRBY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24670-2024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45460</v>
      </c>
      <c r="E219" s="1" t="n">
        <v>46320</v>
      </c>
      <c r="F219" t="inlineStr">
        <is>
          <t>SKÅNE LÄN</t>
        </is>
      </c>
      <c r="G219" t="inlineStr">
        <is>
          <t>HÖRBY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46320</v>
      </c>
      <c r="F220" t="inlineStr">
        <is>
          <t>SKÅNE LÄN</t>
        </is>
      </c>
      <c r="G220" t="inlineStr">
        <is>
          <t>HÖRBY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46320</v>
      </c>
      <c r="F221" t="inlineStr">
        <is>
          <t>SKÅNE LÄN</t>
        </is>
      </c>
      <c r="G221" t="inlineStr">
        <is>
          <t>HÖRBY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46320</v>
      </c>
      <c r="F222" t="inlineStr">
        <is>
          <t>SKÅNE LÄN</t>
        </is>
      </c>
      <c r="G222" t="inlineStr">
        <is>
          <t>HÖRBY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46320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46320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46320</v>
      </c>
      <c r="F225" t="inlineStr">
        <is>
          <t>SKÅNE LÄN</t>
        </is>
      </c>
      <c r="G225" t="inlineStr">
        <is>
          <t>HÖRBY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46320</v>
      </c>
      <c r="F226" t="inlineStr">
        <is>
          <t>SKÅNE LÄN</t>
        </is>
      </c>
      <c r="G226" t="inlineStr">
        <is>
          <t>HÖRBY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46320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46320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46320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46320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46320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46320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46320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1874-2026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46320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1875-2026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46320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1873-2026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46202</v>
      </c>
      <c r="E236" s="1" t="n">
        <v>46320</v>
      </c>
      <c r="F236" t="inlineStr">
        <is>
          <t>SKÅNE LÄN</t>
        </is>
      </c>
      <c r="G236" t="inlineStr">
        <is>
          <t>HÖRBY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2026-10-25T02:05:18Z</dcterms:created>
  <dcterms:modified xmlns:dcterms="http://purl.org/dc/terms/" xmlns:xsi="http://www.w3.org/2001/XMLSchema-instance" xsi:type="dcterms:W3CDTF">2026-10-25T02:05:18Z</dcterms:modified>
</cp:coreProperties>
</file>