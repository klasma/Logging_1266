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46226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46226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46226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46226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46226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46226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46226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46226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46226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46226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46226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46226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46226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46226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46226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46226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46226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44135-2024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45572</v>
      </c>
      <c r="E23" s="1" t="n">
        <v>46226</v>
      </c>
      <c r="F23" t="inlineStr">
        <is>
          <t>SKÅNE LÄN</t>
        </is>
      </c>
      <c r="G23" t="inlineStr">
        <is>
          <t>HÖRBY</t>
        </is>
      </c>
      <c r="I23" t="n">
        <v>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Ladusvala
Vanlig padda</t>
        </is>
      </c>
      <c r="W23">
        <f>HYPERLINK("https://klasma.github.io/Logging_1266/artfynd/A 44135-2024 artfynd.xlsx", "A 44135-2024")</f>
        <v/>
      </c>
      <c r="X23">
        <f>HYPERLINK("https://klasma.github.io/Logging_1266/kartor/A 44135-2024 karta.png", "A 44135-2024")</f>
        <v/>
      </c>
      <c r="Y23">
        <f>HYPERLINK("https://klasma.github.io/Logging_1266/kartor_geotiff/A 44135-2024 georefererad karta.tif", "A 44135-2024")</f>
        <v/>
      </c>
      <c r="AA23">
        <f>HYPERLINK("https://klasma.github.io/Logging_1266/klagomål/A 44135-2024 FSC-klagomål.docx", "A 44135-2024")</f>
        <v/>
      </c>
      <c r="AB23">
        <f>HYPERLINK("https://klasma.github.io/Logging_1266/klagomålsmail/A 44135-2024 FSC-klagomål mail.docx", "A 44135-2024")</f>
        <v/>
      </c>
      <c r="AC23">
        <f>HYPERLINK("https://klasma.github.io/Logging_1266/tillsyn/A 44135-2024 tillsynsbegäran.docx", "A 44135-2024")</f>
        <v/>
      </c>
      <c r="AD23">
        <f>HYPERLINK("https://klasma.github.io/Logging_1266/tillsynsmail/A 44135-2024 tillsynsbegäran mail.docx", "A 44135-2024")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46226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46226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46226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46226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46226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46226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31284-2026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46218</v>
      </c>
      <c r="E30" s="1" t="n">
        <v>46226</v>
      </c>
      <c r="F30" t="inlineStr">
        <is>
          <t>SKÅNE LÄN</t>
        </is>
      </c>
      <c r="G30" t="inlineStr">
        <is>
          <t>HÖRBY</t>
        </is>
      </c>
      <c r="I30" t="n">
        <v>6.8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groda</t>
        </is>
      </c>
      <c r="W30">
        <f>HYPERLINK("https://klasma.github.io/Logging_1266/artfynd/A 31284-2026 artfynd.xlsx", "A 31284-2026")</f>
        <v/>
      </c>
      <c r="X30">
        <f>HYPERLINK("https://klasma.github.io/Logging_1266/kartor/A 31284-2026 karta.png", "A 31284-2026")</f>
        <v/>
      </c>
      <c r="Y30">
        <f>HYPERLINK("https://klasma.github.io/Logging_1266/kartor_geotiff/A 31284-2026 georefererad karta.tif", "A 31284-2026")</f>
        <v/>
      </c>
      <c r="AA30">
        <f>HYPERLINK("https://klasma.github.io/Logging_1266/klagomål/A 31284-2026 FSC-klagomål.docx", "A 31284-2026")</f>
        <v/>
      </c>
      <c r="AB30">
        <f>HYPERLINK("https://klasma.github.io/Logging_1266/klagomålsmail/A 31284-2026 FSC-klagomål mail.docx", "A 31284-2026")</f>
        <v/>
      </c>
      <c r="AC30">
        <f>HYPERLINK("https://klasma.github.io/Logging_1266/tillsyn/A 31284-2026 tillsynsbegäran.docx", "A 31284-2026")</f>
        <v/>
      </c>
      <c r="AD30">
        <f>HYPERLINK("https://klasma.github.io/Logging_1266/tillsynsmail/A 31284-2026 tillsynsbegäran mail.docx", "A 31284-2026")</f>
        <v/>
      </c>
    </row>
    <row r="31" ht="15" customHeight="1">
      <c r="A31" t="inlineStr">
        <is>
          <t>A 30165-2026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46226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30165-2026 artfynd.xlsx", "A 30165-2026")</f>
        <v/>
      </c>
      <c r="X31">
        <f>HYPERLINK("https://klasma.github.io/Logging_1266/kartor/A 30165-2026 karta.png", "A 30165-2026")</f>
        <v/>
      </c>
      <c r="Y31">
        <f>HYPERLINK("https://klasma.github.io/Logging_1266/kartor_geotiff/A 30165-2026 georefererad karta.tif", "A 30165-2026")</f>
        <v/>
      </c>
      <c r="AA31">
        <f>HYPERLINK("https://klasma.github.io/Logging_1266/klagomål/A 30165-2026 FSC-klagomål.docx", "A 30165-2026")</f>
        <v/>
      </c>
      <c r="AB31">
        <f>HYPERLINK("https://klasma.github.io/Logging_1266/klagomålsmail/A 30165-2026 FSC-klagomål mail.docx", "A 30165-2026")</f>
        <v/>
      </c>
      <c r="AC31">
        <f>HYPERLINK("https://klasma.github.io/Logging_1266/tillsyn/A 30165-2026 tillsynsbegäran.docx", "A 30165-2026")</f>
        <v/>
      </c>
      <c r="AD31">
        <f>HYPERLINK("https://klasma.github.io/Logging_1266/tillsynsmail/A 30165-2026 tillsynsbegäran mail.docx", "A 30165-2026")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46226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46226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25833-2024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46226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HYPERLINK("https://klasma.github.io/Logging_1266/artfynd/A 25833-2024 artfynd.xlsx", "A 25833-2024")</f>
        <v/>
      </c>
      <c r="X34">
        <f>HYPERLINK("https://klasma.github.io/Logging_1266/kartor/A 25833-2024 karta.png", "A 25833-2024")</f>
        <v/>
      </c>
      <c r="Y34">
        <f>HYPERLINK("https://klasma.github.io/Logging_1266/kartor_geotiff/A 25833-2024 georefererad karta.tif", "A 25833-2024")</f>
        <v/>
      </c>
      <c r="AA34">
        <f>HYPERLINK("https://klasma.github.io/Logging_1266/klagomål/A 25833-2024 FSC-klagomål.docx", "A 25833-2024")</f>
        <v/>
      </c>
      <c r="AB34">
        <f>HYPERLINK("https://klasma.github.io/Logging_1266/klagomålsmail/A 25833-2024 FSC-klagomål mail.docx", "A 25833-2024")</f>
        <v/>
      </c>
      <c r="AC34">
        <f>HYPERLINK("https://klasma.github.io/Logging_1266/tillsyn/A 25833-2024 tillsynsbegäran.docx", "A 25833-2024")</f>
        <v/>
      </c>
      <c r="AD34">
        <f>HYPERLINK("https://klasma.github.io/Logging_1266/tillsynsmail/A 25833-2024 tillsynsbegäran mail.docx", "A 25833-2024")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46226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46226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46226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46226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46226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46226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46226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46226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46226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46226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46226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46226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46226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46226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46226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46226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46226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46226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46226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46226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46226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46226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46226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46226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46226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46226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46226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45551</v>
      </c>
      <c r="E68" s="1" t="n">
        <v>46226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45166</v>
      </c>
      <c r="E69" s="1" t="n">
        <v>46226</v>
      </c>
      <c r="F69" t="inlineStr">
        <is>
          <t>SKÅNE LÄN</t>
        </is>
      </c>
      <c r="G69" t="inlineStr">
        <is>
          <t>HÖRBY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46226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45363</v>
      </c>
      <c r="E71" s="1" t="n">
        <v>46226</v>
      </c>
      <c r="F71" t="inlineStr">
        <is>
          <t>SKÅNE LÄN</t>
        </is>
      </c>
      <c r="G71" t="inlineStr">
        <is>
          <t>HÖRBY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46226</v>
      </c>
      <c r="F72" t="inlineStr">
        <is>
          <t>SKÅNE LÄN</t>
        </is>
      </c>
      <c r="G72" t="inlineStr">
        <is>
          <t>HÖRBY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46226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46226</v>
      </c>
      <c r="F74" t="inlineStr">
        <is>
          <t>SKÅNE LÄN</t>
        </is>
      </c>
      <c r="G74" t="inlineStr">
        <is>
          <t>HÖRBY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46064</v>
      </c>
      <c r="E75" s="1" t="n">
        <v>46226</v>
      </c>
      <c r="F75" t="inlineStr">
        <is>
          <t>SKÅNE LÄN</t>
        </is>
      </c>
      <c r="G75" t="inlineStr">
        <is>
          <t>HÖRBY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46064</v>
      </c>
      <c r="E76" s="1" t="n">
        <v>46226</v>
      </c>
      <c r="F76" t="inlineStr">
        <is>
          <t>SKÅNE LÄN</t>
        </is>
      </c>
      <c r="G76" t="inlineStr">
        <is>
          <t>HÖRBY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46064</v>
      </c>
      <c r="E77" s="1" t="n">
        <v>46226</v>
      </c>
      <c r="F77" t="inlineStr">
        <is>
          <t>SKÅNE LÄN</t>
        </is>
      </c>
      <c r="G77" t="inlineStr">
        <is>
          <t>HÖRBY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46226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45187</v>
      </c>
      <c r="E79" s="1" t="n">
        <v>46226</v>
      </c>
      <c r="F79" t="inlineStr">
        <is>
          <t>SKÅNE LÄN</t>
        </is>
      </c>
      <c r="G79" t="inlineStr">
        <is>
          <t>HÖRBY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46226</v>
      </c>
      <c r="F80" t="inlineStr">
        <is>
          <t>SKÅNE LÄN</t>
        </is>
      </c>
      <c r="G80" t="inlineStr">
        <is>
          <t>HÖRBY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46074</v>
      </c>
      <c r="E81" s="1" t="n">
        <v>46226</v>
      </c>
      <c r="F81" t="inlineStr">
        <is>
          <t>SKÅNE LÄN</t>
        </is>
      </c>
      <c r="G81" t="inlineStr">
        <is>
          <t>HÖRBY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46226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44944</v>
      </c>
      <c r="E83" s="1" t="n">
        <v>46226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46226</v>
      </c>
      <c r="F84" t="inlineStr">
        <is>
          <t>SKÅNE LÄN</t>
        </is>
      </c>
      <c r="G84" t="inlineStr">
        <is>
          <t>HÖRBY</t>
        </is>
      </c>
      <c r="H84" t="inlineStr">
        <is>
          <t>Kyrkan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46226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29244-2025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46226</v>
      </c>
      <c r="F86" t="inlineStr">
        <is>
          <t>SKÅNE LÄN</t>
        </is>
      </c>
      <c r="G86" t="inlineStr">
        <is>
          <t>HÖRBY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46226</v>
      </c>
      <c r="F87" t="inlineStr">
        <is>
          <t>SKÅNE LÄN</t>
        </is>
      </c>
      <c r="G87" t="inlineStr">
        <is>
          <t>HÖRBY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46226</v>
      </c>
      <c r="F88" t="inlineStr">
        <is>
          <t>SKÅNE LÄN</t>
        </is>
      </c>
      <c r="G88" t="inlineStr">
        <is>
          <t>HÖRBY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46226</v>
      </c>
      <c r="F89" t="inlineStr">
        <is>
          <t>SKÅNE LÄN</t>
        </is>
      </c>
      <c r="G89" t="inlineStr">
        <is>
          <t>HÖRBY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46226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46226</v>
      </c>
      <c r="F91" t="inlineStr">
        <is>
          <t>SKÅNE LÄN</t>
        </is>
      </c>
      <c r="G91" t="inlineStr">
        <is>
          <t>HÖRBY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46226</v>
      </c>
      <c r="F92" t="inlineStr">
        <is>
          <t>SKÅNE LÄN</t>
        </is>
      </c>
      <c r="G92" t="inlineStr">
        <is>
          <t>HÖRBY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46226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46099</v>
      </c>
      <c r="E94" s="1" t="n">
        <v>46226</v>
      </c>
      <c r="F94" t="inlineStr">
        <is>
          <t>SKÅNE LÄN</t>
        </is>
      </c>
      <c r="G94" t="inlineStr">
        <is>
          <t>HÖRBY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46226</v>
      </c>
      <c r="F95" t="inlineStr">
        <is>
          <t>SKÅNE LÄN</t>
        </is>
      </c>
      <c r="G95" t="inlineStr">
        <is>
          <t>HÖRBY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46226</v>
      </c>
      <c r="F96" t="inlineStr">
        <is>
          <t>SKÅNE LÄN</t>
        </is>
      </c>
      <c r="G96" t="inlineStr">
        <is>
          <t>HÖRBY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46226</v>
      </c>
      <c r="F97" t="inlineStr">
        <is>
          <t>SKÅNE LÄN</t>
        </is>
      </c>
      <c r="G97" t="inlineStr">
        <is>
          <t>HÖRBY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46226</v>
      </c>
      <c r="F98" t="inlineStr">
        <is>
          <t>SKÅNE LÄN</t>
        </is>
      </c>
      <c r="G98" t="inlineStr">
        <is>
          <t>HÖRBY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44944</v>
      </c>
      <c r="E99" s="1" t="n">
        <v>46226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37082-2023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45155</v>
      </c>
      <c r="E100" s="1" t="n">
        <v>46226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45226</v>
      </c>
      <c r="E101" s="1" t="n">
        <v>46226</v>
      </c>
      <c r="F101" t="inlineStr">
        <is>
          <t>SKÅNE LÄN</t>
        </is>
      </c>
      <c r="G101" t="inlineStr">
        <is>
          <t>HÖRBY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46226</v>
      </c>
      <c r="F102" t="inlineStr">
        <is>
          <t>SKÅNE LÄN</t>
        </is>
      </c>
      <c r="G102" t="inlineStr">
        <is>
          <t>HÖRBY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45839</v>
      </c>
      <c r="E103" s="1" t="n">
        <v>46226</v>
      </c>
      <c r="F103" t="inlineStr">
        <is>
          <t>SKÅNE LÄN</t>
        </is>
      </c>
      <c r="G103" t="inlineStr">
        <is>
          <t>HÖRBY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46226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46226</v>
      </c>
      <c r="F105" t="inlineStr">
        <is>
          <t>SKÅNE LÄN</t>
        </is>
      </c>
      <c r="G105" t="inlineStr">
        <is>
          <t>HÖRBY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46226</v>
      </c>
      <c r="F106" t="inlineStr">
        <is>
          <t>SKÅNE LÄN</t>
        </is>
      </c>
      <c r="G106" t="inlineStr">
        <is>
          <t>HÖRBY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46226</v>
      </c>
      <c r="F107" t="inlineStr">
        <is>
          <t>SKÅNE LÄN</t>
        </is>
      </c>
      <c r="G107" t="inlineStr">
        <is>
          <t>HÖRBY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46226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46226</v>
      </c>
      <c r="F109" t="inlineStr">
        <is>
          <t>SKÅNE LÄN</t>
        </is>
      </c>
      <c r="G109" t="inlineStr">
        <is>
          <t>HÖRBY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51757-2025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45951</v>
      </c>
      <c r="E110" s="1" t="n">
        <v>46226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46226</v>
      </c>
      <c r="F111" t="inlineStr">
        <is>
          <t>SKÅNE LÄN</t>
        </is>
      </c>
      <c r="G111" t="inlineStr">
        <is>
          <t>HÖRBY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46226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46226</v>
      </c>
      <c r="F113" t="inlineStr">
        <is>
          <t>SKÅNE LÄN</t>
        </is>
      </c>
      <c r="G113" t="inlineStr">
        <is>
          <t>HÖRBY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46226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46226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46226</v>
      </c>
      <c r="F116" t="inlineStr">
        <is>
          <t>SKÅNE LÄN</t>
        </is>
      </c>
      <c r="G116" t="inlineStr">
        <is>
          <t>HÖRBY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46226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46226</v>
      </c>
      <c r="F118" t="inlineStr">
        <is>
          <t>SKÅNE LÄN</t>
        </is>
      </c>
      <c r="G118" t="inlineStr">
        <is>
          <t>HÖRBY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55304-2025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46226</v>
      </c>
      <c r="F119" t="inlineStr">
        <is>
          <t>SKÅNE LÄN</t>
        </is>
      </c>
      <c r="G119" t="inlineStr">
        <is>
          <t>HÖRBY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55306-2025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46226</v>
      </c>
      <c r="F120" t="inlineStr">
        <is>
          <t>SKÅNE LÄN</t>
        </is>
      </c>
      <c r="G120" t="inlineStr">
        <is>
          <t>HÖRBY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46226</v>
      </c>
      <c r="F121" t="inlineStr">
        <is>
          <t>SKÅNE LÄN</t>
        </is>
      </c>
      <c r="G121" t="inlineStr">
        <is>
          <t>HÖRBY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46226</v>
      </c>
      <c r="F122" t="inlineStr">
        <is>
          <t>SKÅNE LÄN</t>
        </is>
      </c>
      <c r="G122" t="inlineStr">
        <is>
          <t>HÖRBY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45979</v>
      </c>
      <c r="E123" s="1" t="n">
        <v>46226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45287</v>
      </c>
      <c r="E124" s="1" t="n">
        <v>46226</v>
      </c>
      <c r="F124" t="inlineStr">
        <is>
          <t>SKÅNE LÄN</t>
        </is>
      </c>
      <c r="G124" t="inlineStr">
        <is>
          <t>HÖRBY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46226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46226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46226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45868</v>
      </c>
      <c r="E128" s="1" t="n">
        <v>46226</v>
      </c>
      <c r="F128" t="inlineStr">
        <is>
          <t>SKÅNE LÄN</t>
        </is>
      </c>
      <c r="G128" t="inlineStr">
        <is>
          <t>HÖRBY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46226</v>
      </c>
      <c r="F129" t="inlineStr">
        <is>
          <t>SKÅNE LÄN</t>
        </is>
      </c>
      <c r="G129" t="inlineStr">
        <is>
          <t>HÖRBY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46226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45868</v>
      </c>
      <c r="E131" s="1" t="n">
        <v>46226</v>
      </c>
      <c r="F131" t="inlineStr">
        <is>
          <t>SKÅNE LÄN</t>
        </is>
      </c>
      <c r="G131" t="inlineStr">
        <is>
          <t>HÖRBY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46226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46226</v>
      </c>
      <c r="F133" t="inlineStr">
        <is>
          <t>SKÅNE LÄN</t>
        </is>
      </c>
      <c r="G133" t="inlineStr">
        <is>
          <t>HÖRBY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46226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43685-2022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44837</v>
      </c>
      <c r="E135" s="1" t="n">
        <v>46226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46226</v>
      </c>
      <c r="F136" t="inlineStr">
        <is>
          <t>SKÅNE LÄN</t>
        </is>
      </c>
      <c r="G136" t="inlineStr">
        <is>
          <t>HÖRBY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46226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46226</v>
      </c>
      <c r="F138" t="inlineStr">
        <is>
          <t>SKÅNE LÄN</t>
        </is>
      </c>
      <c r="G138" t="inlineStr">
        <is>
          <t>HÖRBY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46226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46226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46226</v>
      </c>
      <c r="F141" t="inlineStr">
        <is>
          <t>SKÅNE LÄN</t>
        </is>
      </c>
      <c r="G141" t="inlineStr">
        <is>
          <t>HÖRBY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46226</v>
      </c>
      <c r="F142" t="inlineStr">
        <is>
          <t>SKÅNE LÄN</t>
        </is>
      </c>
      <c r="G142" t="inlineStr">
        <is>
          <t>HÖRBY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46226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46226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46226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46226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46226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46226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46226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46226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46226</v>
      </c>
      <c r="F151" t="inlineStr">
        <is>
          <t>SKÅNE LÄN</t>
        </is>
      </c>
      <c r="G151" t="inlineStr">
        <is>
          <t>HÖRBY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46226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46226</v>
      </c>
      <c r="F153" t="inlineStr">
        <is>
          <t>SKÅNE LÄN</t>
        </is>
      </c>
      <c r="G153" t="inlineStr">
        <is>
          <t>HÖRBY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46226</v>
      </c>
      <c r="F154" t="inlineStr">
        <is>
          <t>SKÅNE LÄN</t>
        </is>
      </c>
      <c r="G154" t="inlineStr">
        <is>
          <t>HÖRBY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46226</v>
      </c>
      <c r="F155" t="inlineStr">
        <is>
          <t>SKÅNE LÄN</t>
        </is>
      </c>
      <c r="G155" t="inlineStr">
        <is>
          <t>HÖRBY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46226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46226</v>
      </c>
      <c r="F157" t="inlineStr">
        <is>
          <t>SKÅNE LÄN</t>
        </is>
      </c>
      <c r="G157" t="inlineStr">
        <is>
          <t>HÖRBY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46226</v>
      </c>
      <c r="F158" t="inlineStr">
        <is>
          <t>SKÅNE LÄN</t>
        </is>
      </c>
      <c r="G158" t="inlineStr">
        <is>
          <t>HÖRBY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46226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29138-2026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46202</v>
      </c>
      <c r="E160" s="1" t="n">
        <v>46226</v>
      </c>
      <c r="F160" t="inlineStr">
        <is>
          <t>SKÅNE LÄN</t>
        </is>
      </c>
      <c r="G160" t="inlineStr">
        <is>
          <t>HÖRBY</t>
        </is>
      </c>
      <c r="H160" t="inlineStr">
        <is>
          <t>Sveaskog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46226</v>
      </c>
      <c r="F161" t="inlineStr">
        <is>
          <t>SKÅNE LÄN</t>
        </is>
      </c>
      <c r="G161" t="inlineStr">
        <is>
          <t>HÖRBY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46226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29135-2026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46202</v>
      </c>
      <c r="E163" s="1" t="n">
        <v>46226</v>
      </c>
      <c r="F163" t="inlineStr">
        <is>
          <t>SKÅNE LÄN</t>
        </is>
      </c>
      <c r="G163" t="inlineStr">
        <is>
          <t>HÖRBY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45970</v>
      </c>
      <c r="E164" s="1" t="n">
        <v>46226</v>
      </c>
      <c r="F164" t="inlineStr">
        <is>
          <t>SKÅNE LÄN</t>
        </is>
      </c>
      <c r="G164" t="inlineStr">
        <is>
          <t>HÖRBY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45537</v>
      </c>
      <c r="E165" s="1" t="n">
        <v>46226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9.5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46226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46226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44775</v>
      </c>
      <c r="E168" s="1" t="n">
        <v>46226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45616</v>
      </c>
      <c r="E169" s="1" t="n">
        <v>46226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46226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46226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46226</v>
      </c>
      <c r="F172" t="inlineStr">
        <is>
          <t>SKÅNE LÄN</t>
        </is>
      </c>
      <c r="G172" t="inlineStr">
        <is>
          <t>HÖRBY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46226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44834</v>
      </c>
      <c r="E174" s="1" t="n">
        <v>46226</v>
      </c>
      <c r="F174" t="inlineStr">
        <is>
          <t>SKÅNE LÄN</t>
        </is>
      </c>
      <c r="G174" t="inlineStr">
        <is>
          <t>HÖRBY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46226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46226</v>
      </c>
      <c r="F176" t="inlineStr">
        <is>
          <t>SKÅNE LÄN</t>
        </is>
      </c>
      <c r="G176" t="inlineStr">
        <is>
          <t>HÖRBY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46226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46051</v>
      </c>
      <c r="E178" s="1" t="n">
        <v>46226</v>
      </c>
      <c r="F178" t="inlineStr">
        <is>
          <t>SKÅNE LÄN</t>
        </is>
      </c>
      <c r="G178" t="inlineStr">
        <is>
          <t>HÖRBY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46226</v>
      </c>
      <c r="F179" t="inlineStr">
        <is>
          <t>SKÅNE LÄN</t>
        </is>
      </c>
      <c r="G179" t="inlineStr">
        <is>
          <t>HÖRBY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46226</v>
      </c>
      <c r="F180" t="inlineStr">
        <is>
          <t>SKÅNE LÄN</t>
        </is>
      </c>
      <c r="G180" t="inlineStr">
        <is>
          <t>HÖRBY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46226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23606-2026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46162</v>
      </c>
      <c r="E182" s="1" t="n">
        <v>46226</v>
      </c>
      <c r="F182" t="inlineStr">
        <is>
          <t>SKÅNE LÄN</t>
        </is>
      </c>
      <c r="G182" t="inlineStr">
        <is>
          <t>HÖRBY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45208</v>
      </c>
      <c r="E183" s="1" t="n">
        <v>46226</v>
      </c>
      <c r="F183" t="inlineStr">
        <is>
          <t>SKÅNE LÄN</t>
        </is>
      </c>
      <c r="G183" t="inlineStr">
        <is>
          <t>HÖRBY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46226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45460</v>
      </c>
      <c r="E185" s="1" t="n">
        <v>46226</v>
      </c>
      <c r="F185" t="inlineStr">
        <is>
          <t>SKÅNE LÄN</t>
        </is>
      </c>
      <c r="G185" t="inlineStr">
        <is>
          <t>HÖRBY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45251</v>
      </c>
      <c r="E186" s="1" t="n">
        <v>46226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46226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46226</v>
      </c>
      <c r="F188" t="inlineStr">
        <is>
          <t>SKÅNE LÄN</t>
        </is>
      </c>
      <c r="G188" t="inlineStr">
        <is>
          <t>HÖRBY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46226</v>
      </c>
      <c r="F189" t="inlineStr">
        <is>
          <t>SKÅNE LÄN</t>
        </is>
      </c>
      <c r="G189" t="inlineStr">
        <is>
          <t>HÖRBY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46226</v>
      </c>
      <c r="F190" t="inlineStr">
        <is>
          <t>SKÅNE LÄN</t>
        </is>
      </c>
      <c r="G190" t="inlineStr">
        <is>
          <t>HÖRBY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46226</v>
      </c>
      <c r="F191" t="inlineStr">
        <is>
          <t>SKÅNE LÄN</t>
        </is>
      </c>
      <c r="G191" t="inlineStr">
        <is>
          <t>HÖRBY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44959</v>
      </c>
      <c r="E192" s="1" t="n">
        <v>46226</v>
      </c>
      <c r="F192" t="inlineStr">
        <is>
          <t>SKÅNE LÄN</t>
        </is>
      </c>
      <c r="G192" t="inlineStr">
        <is>
          <t>HÖRBY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46226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56818-2022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46226</v>
      </c>
      <c r="F194" t="inlineStr">
        <is>
          <t>SKÅNE LÄN</t>
        </is>
      </c>
      <c r="G194" t="inlineStr">
        <is>
          <t>HÖRBY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34422-2024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45525</v>
      </c>
      <c r="E195" s="1" t="n">
        <v>46226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46226</v>
      </c>
      <c r="F196" t="inlineStr">
        <is>
          <t>SKÅNE LÄN</t>
        </is>
      </c>
      <c r="G196" t="inlineStr">
        <is>
          <t>HÖRBY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46226</v>
      </c>
      <c r="F197" t="inlineStr">
        <is>
          <t>SKÅNE LÄN</t>
        </is>
      </c>
      <c r="G197" t="inlineStr">
        <is>
          <t>HÖRBY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46226</v>
      </c>
      <c r="F198" t="inlineStr">
        <is>
          <t>SKÅNE LÄN</t>
        </is>
      </c>
      <c r="G198" t="inlineStr">
        <is>
          <t>HÖRBY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44693</v>
      </c>
      <c r="E199" s="1" t="n">
        <v>46226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46226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46226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46226</v>
      </c>
      <c r="F202" t="inlineStr">
        <is>
          <t>SKÅNE LÄN</t>
        </is>
      </c>
      <c r="G202" t="inlineStr">
        <is>
          <t>HÖRBY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46226</v>
      </c>
      <c r="F203" t="inlineStr">
        <is>
          <t>SKÅNE LÄN</t>
        </is>
      </c>
      <c r="G203" t="inlineStr">
        <is>
          <t>HÖRBY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46226</v>
      </c>
      <c r="F204" t="inlineStr">
        <is>
          <t>SKÅNE LÄN</t>
        </is>
      </c>
      <c r="G204" t="inlineStr">
        <is>
          <t>HÖRBY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45521</v>
      </c>
      <c r="E205" s="1" t="n">
        <v>46226</v>
      </c>
      <c r="F205" t="inlineStr">
        <is>
          <t>SKÅNE LÄN</t>
        </is>
      </c>
      <c r="G205" t="inlineStr">
        <is>
          <t>HÖRBY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46226</v>
      </c>
      <c r="F206" t="inlineStr">
        <is>
          <t>SKÅNE LÄN</t>
        </is>
      </c>
      <c r="G206" t="inlineStr">
        <is>
          <t>HÖRBY</t>
        </is>
      </c>
      <c r="H206" t="inlineStr">
        <is>
          <t>Kyrkan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46226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46226</v>
      </c>
      <c r="F208" t="inlineStr">
        <is>
          <t>SKÅNE LÄN</t>
        </is>
      </c>
      <c r="G208" t="inlineStr">
        <is>
          <t>HÖRBY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46226</v>
      </c>
      <c r="F209" t="inlineStr">
        <is>
          <t>SKÅNE LÄN</t>
        </is>
      </c>
      <c r="G209" t="inlineStr">
        <is>
          <t>HÖRBY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46226</v>
      </c>
      <c r="F210" t="inlineStr">
        <is>
          <t>SKÅNE LÄN</t>
        </is>
      </c>
      <c r="G210" t="inlineStr">
        <is>
          <t>HÖRBY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45391</v>
      </c>
      <c r="E211" s="1" t="n">
        <v>46226</v>
      </c>
      <c r="F211" t="inlineStr">
        <is>
          <t>SKÅNE LÄN</t>
        </is>
      </c>
      <c r="G211" t="inlineStr">
        <is>
          <t>HÖRBY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46226</v>
      </c>
      <c r="F212" t="inlineStr">
        <is>
          <t>SKÅNE LÄN</t>
        </is>
      </c>
      <c r="G212" t="inlineStr">
        <is>
          <t>HÖRBY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45478</v>
      </c>
      <c r="E213" s="1" t="n">
        <v>46226</v>
      </c>
      <c r="F213" t="inlineStr">
        <is>
          <t>SKÅNE LÄN</t>
        </is>
      </c>
      <c r="G213" t="inlineStr">
        <is>
          <t>HÖRBY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6558-2025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45699</v>
      </c>
      <c r="E214" s="1" t="n">
        <v>46226</v>
      </c>
      <c r="F214" t="inlineStr">
        <is>
          <t>SKÅNE LÄN</t>
        </is>
      </c>
      <c r="G214" t="inlineStr">
        <is>
          <t>HÖRBY</t>
        </is>
      </c>
      <c r="H214" t="inlineStr">
        <is>
          <t>Kommuner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46226</v>
      </c>
      <c r="F215" t="inlineStr">
        <is>
          <t>SKÅNE LÄN</t>
        </is>
      </c>
      <c r="G215" t="inlineStr">
        <is>
          <t>HÖRBY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44833</v>
      </c>
      <c r="E216" s="1" t="n">
        <v>46226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46226</v>
      </c>
      <c r="F217" t="inlineStr">
        <is>
          <t>SKÅNE LÄN</t>
        </is>
      </c>
      <c r="G217" t="inlineStr">
        <is>
          <t>HÖRBY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46226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46226</v>
      </c>
      <c r="F219" t="inlineStr">
        <is>
          <t>SKÅNE LÄN</t>
        </is>
      </c>
      <c r="G219" t="inlineStr">
        <is>
          <t>HÖRBY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46226</v>
      </c>
      <c r="F220" t="inlineStr">
        <is>
          <t>SKÅNE LÄN</t>
        </is>
      </c>
      <c r="G220" t="inlineStr">
        <is>
          <t>HÖRBY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43711-2024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45569</v>
      </c>
      <c r="E221" s="1" t="n">
        <v>46226</v>
      </c>
      <c r="F221" t="inlineStr">
        <is>
          <t>SKÅNE LÄN</t>
        </is>
      </c>
      <c r="G221" t="inlineStr">
        <is>
          <t>HÖRBY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46226</v>
      </c>
      <c r="F222" t="inlineStr">
        <is>
          <t>SKÅNE LÄN</t>
        </is>
      </c>
      <c r="G222" t="inlineStr">
        <is>
          <t>HÖRBY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46226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46226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46226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46226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46226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46226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46226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46226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2026-07-23T01:42:50Z</dcterms:created>
  <dcterms:modified xmlns:dcterms="http://purl.org/dc/terms/" xmlns:xsi="http://www.w3.org/2001/XMLSchema-instance" xsi:type="dcterms:W3CDTF">2026-07-23T01:42:50Z</dcterms:modified>
</cp:coreProperties>
</file>