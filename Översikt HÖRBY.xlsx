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46248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46248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46248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46248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46248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46248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46248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46248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46248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46248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46248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46248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46248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24158-2022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44725</v>
      </c>
      <c r="E15" s="1" t="n">
        <v>46248</v>
      </c>
      <c r="F15" t="inlineStr">
        <is>
          <t>SKÅNE LÄN</t>
        </is>
      </c>
      <c r="G15" t="inlineStr">
        <is>
          <t>HÖRBY</t>
        </is>
      </c>
      <c r="I15" t="n">
        <v>3.1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5</v>
      </c>
      <c r="U15" t="n">
        <v>3</v>
      </c>
      <c r="V15" s="2" t="inlineStr">
        <is>
          <t>Slåttergubbe
Borsttåg
Sotnätfjäril</t>
        </is>
      </c>
      <c r="W15">
        <f>HYPERLINK("https://klasma.github.io/Logging_1266/artfynd/A 24158-2022 artfynd.xlsx", "A 24158-2022")</f>
        <v/>
      </c>
      <c r="X15">
        <f>HYPERLINK("https://klasma.github.io/Logging_1266/kartor/A 24158-2022 karta.png", "A 24158-2022")</f>
        <v/>
      </c>
      <c r="Y15">
        <f>HYPERLINK("https://klasma.github.io/Logging_1266/kartor_geotiff/A 24158-2022 georefererad karta.tif", "A 24158-2022")</f>
        <v/>
      </c>
      <c r="AA15">
        <f>HYPERLINK("https://klasma.github.io/Logging_1266/klagomål/A 24158-2022 FSC-klagomål.docx", "A 24158-2022")</f>
        <v/>
      </c>
      <c r="AB15">
        <f>HYPERLINK("https://klasma.github.io/Logging_1266/klagomålsmail/A 24158-2022 FSC-klagomål mail.docx", "A 24158-2022")</f>
        <v/>
      </c>
      <c r="AC15">
        <f>HYPERLINK("https://klasma.github.io/Logging_1266/tillsyn/A 24158-2022 tillsynsbegäran.docx", "A 24158-2022")</f>
        <v/>
      </c>
      <c r="AD15">
        <f>HYPERLINK("https://klasma.github.io/Logging_1266/tillsynsmail/A 24158-2022 tillsynsbegäran mail.docx", "A 24158-2022")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46248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46248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46248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46248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46248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46248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46248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46248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46248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25833-2024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46248</v>
      </c>
      <c r="F25" t="inlineStr">
        <is>
          <t>SKÅNE LÄN</t>
        </is>
      </c>
      <c r="G25" t="inlineStr">
        <is>
          <t>HÖRBY</t>
        </is>
      </c>
      <c r="I25" t="n">
        <v>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HYPERLINK("https://klasma.github.io/Logging_1266/artfynd/A 25833-2024 artfynd.xlsx", "A 25833-2024")</f>
        <v/>
      </c>
      <c r="X25">
        <f>HYPERLINK("https://klasma.github.io/Logging_1266/kartor/A 25833-2024 karta.png", "A 25833-2024")</f>
        <v/>
      </c>
      <c r="Y25">
        <f>HYPERLINK("https://klasma.github.io/Logging_1266/kartor_geotiff/A 25833-2024 georefererad karta.tif", "A 25833-2024")</f>
        <v/>
      </c>
      <c r="AA25">
        <f>HYPERLINK("https://klasma.github.io/Logging_1266/klagomål/A 25833-2024 FSC-klagomål.docx", "A 25833-2024")</f>
        <v/>
      </c>
      <c r="AB25">
        <f>HYPERLINK("https://klasma.github.io/Logging_1266/klagomålsmail/A 25833-2024 FSC-klagomål mail.docx", "A 25833-2024")</f>
        <v/>
      </c>
      <c r="AC25">
        <f>HYPERLINK("https://klasma.github.io/Logging_1266/tillsyn/A 25833-2024 tillsynsbegäran.docx", "A 25833-2024")</f>
        <v/>
      </c>
      <c r="AD25">
        <f>HYPERLINK("https://klasma.github.io/Logging_1266/tillsynsmail/A 25833-2024 tillsynsbegäran mail.docx", "A 25833-2024")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46248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46248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46248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25479-2025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45802</v>
      </c>
      <c r="E29" s="1" t="n">
        <v>46248</v>
      </c>
      <c r="F29" t="inlineStr">
        <is>
          <t>SKÅNE LÄN</t>
        </is>
      </c>
      <c r="G29" t="inlineStr">
        <is>
          <t>HÖRBY</t>
        </is>
      </c>
      <c r="I29" t="n">
        <v>0.7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Lundvårlök</t>
        </is>
      </c>
      <c r="W29">
        <f>HYPERLINK("https://klasma.github.io/Logging_1266/artfynd/A 25479-2025 artfynd.xlsx", "A 25479-2025")</f>
        <v/>
      </c>
      <c r="X29">
        <f>HYPERLINK("https://klasma.github.io/Logging_1266/kartor/A 25479-2025 karta.png", "A 25479-2025")</f>
        <v/>
      </c>
      <c r="Y29">
        <f>HYPERLINK("https://klasma.github.io/Logging_1266/kartor_geotiff/A 25479-2025 georefererad karta.tif", "A 25479-2025")</f>
        <v/>
      </c>
      <c r="AA29">
        <f>HYPERLINK("https://klasma.github.io/Logging_1266/klagomål/A 25479-2025 FSC-klagomål.docx", "A 25479-2025")</f>
        <v/>
      </c>
      <c r="AB29">
        <f>HYPERLINK("https://klasma.github.io/Logging_1266/klagomålsmail/A 25479-2025 FSC-klagomål mail.docx", "A 25479-2025")</f>
        <v/>
      </c>
      <c r="AC29">
        <f>HYPERLINK("https://klasma.github.io/Logging_1266/tillsyn/A 25479-2025 tillsynsbegäran.docx", "A 25479-2025")</f>
        <v/>
      </c>
      <c r="AD29">
        <f>HYPERLINK("https://klasma.github.io/Logging_1266/tillsynsmail/A 25479-2025 tillsynsbegäran mail.docx", "A 25479-2025")</f>
        <v/>
      </c>
    </row>
    <row r="30" ht="15" customHeight="1">
      <c r="A30" t="inlineStr">
        <is>
          <t>A 21713-2025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45783</v>
      </c>
      <c r="E30" s="1" t="n">
        <v>46248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HYPERLINK("https://klasma.github.io/Logging_1266/artfynd/A 21713-2025 artfynd.xlsx", "A 21713-2025")</f>
        <v/>
      </c>
      <c r="X30">
        <f>HYPERLINK("https://klasma.github.io/Logging_1266/kartor/A 21713-2025 karta.png", "A 21713-2025")</f>
        <v/>
      </c>
      <c r="Y30">
        <f>HYPERLINK("https://klasma.github.io/Logging_1266/kartor_geotiff/A 21713-2025 georefererad karta.tif", "A 21713-2025")</f>
        <v/>
      </c>
      <c r="AA30">
        <f>HYPERLINK("https://klasma.github.io/Logging_1266/klagomål/A 21713-2025 FSC-klagomål.docx", "A 21713-2025")</f>
        <v/>
      </c>
      <c r="AB30">
        <f>HYPERLINK("https://klasma.github.io/Logging_1266/klagomålsmail/A 21713-2025 FSC-klagomål mail.docx", "A 21713-2025")</f>
        <v/>
      </c>
      <c r="AC30">
        <f>HYPERLINK("https://klasma.github.io/Logging_1266/tillsyn/A 21713-2025 tillsynsbegäran.docx", "A 21713-2025")</f>
        <v/>
      </c>
      <c r="AD30">
        <f>HYPERLINK("https://klasma.github.io/Logging_1266/tillsynsmail/A 21713-2025 tillsynsbegäran mail.docx", "A 21713-2025")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46248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46248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46248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46248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46248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46248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46248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46248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46248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46248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46248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46248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46248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46248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46248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46248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46248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46248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46248</v>
      </c>
      <c r="F49" t="inlineStr">
        <is>
          <t>SKÅNE LÄN</t>
        </is>
      </c>
      <c r="G49" t="inlineStr">
        <is>
          <t>HÖRBY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46248</v>
      </c>
      <c r="F50" t="inlineStr">
        <is>
          <t>SKÅNE LÄN</t>
        </is>
      </c>
      <c r="G50" t="inlineStr">
        <is>
          <t>HÖRBY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46248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46248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46248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13633-2024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46248</v>
      </c>
      <c r="F54" t="inlineStr">
        <is>
          <t>SKÅNE LÄN</t>
        </is>
      </c>
      <c r="G54" t="inlineStr">
        <is>
          <t>HÖRBY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45190</v>
      </c>
      <c r="E55" s="1" t="n">
        <v>46248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45541</v>
      </c>
      <c r="E56" s="1" t="n">
        <v>46248</v>
      </c>
      <c r="F56" t="inlineStr">
        <is>
          <t>SKÅNE LÄN</t>
        </is>
      </c>
      <c r="G56" t="inlineStr">
        <is>
          <t>HÖRBY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46248</v>
      </c>
      <c r="F57" t="inlineStr">
        <is>
          <t>SKÅNE LÄN</t>
        </is>
      </c>
      <c r="G57" t="inlineStr">
        <is>
          <t>HÖRBY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46248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44613-2023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45189</v>
      </c>
      <c r="E59" s="1" t="n">
        <v>46248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45677</v>
      </c>
      <c r="E60" s="1" t="n">
        <v>46248</v>
      </c>
      <c r="F60" t="inlineStr">
        <is>
          <t>SKÅNE LÄN</t>
        </is>
      </c>
      <c r="G60" t="inlineStr">
        <is>
          <t>HÖRBY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49726-2023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45208</v>
      </c>
      <c r="E61" s="1" t="n">
        <v>46248</v>
      </c>
      <c r="F61" t="inlineStr">
        <is>
          <t>SKÅNE LÄN</t>
        </is>
      </c>
      <c r="G61" t="inlineStr">
        <is>
          <t>HÖRBY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46248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43879-2023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46248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24724-2024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45460</v>
      </c>
      <c r="E64" s="1" t="n">
        <v>46248</v>
      </c>
      <c r="F64" t="inlineStr">
        <is>
          <t>SKÅNE LÄN</t>
        </is>
      </c>
      <c r="G64" t="inlineStr">
        <is>
          <t>HÖRBY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58641-2023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45251</v>
      </c>
      <c r="E65" s="1" t="n">
        <v>46248</v>
      </c>
      <c r="F65" t="inlineStr">
        <is>
          <t>SKÅNE LÄN</t>
        </is>
      </c>
      <c r="G65" t="inlineStr">
        <is>
          <t>HÖRBY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28785-2023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45104</v>
      </c>
      <c r="E66" s="1" t="n">
        <v>46248</v>
      </c>
      <c r="F66" t="inlineStr">
        <is>
          <t>SKÅNE LÄN</t>
        </is>
      </c>
      <c r="G66" t="inlineStr">
        <is>
          <t>HÖRBY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45750</v>
      </c>
      <c r="E67" s="1" t="n">
        <v>46248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47609-2023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46248</v>
      </c>
      <c r="F68" t="inlineStr">
        <is>
          <t>SKÅNE LÄN</t>
        </is>
      </c>
      <c r="G68" t="inlineStr">
        <is>
          <t>HÖRBY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45250</v>
      </c>
      <c r="E69" s="1" t="n">
        <v>46248</v>
      </c>
      <c r="F69" t="inlineStr">
        <is>
          <t>SKÅNE LÄN</t>
        </is>
      </c>
      <c r="G69" t="inlineStr">
        <is>
          <t>HÖRBY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45688</v>
      </c>
      <c r="E70" s="1" t="n">
        <v>46248</v>
      </c>
      <c r="F70" t="inlineStr">
        <is>
          <t>SKÅNE LÄN</t>
        </is>
      </c>
      <c r="G70" t="inlineStr">
        <is>
          <t>HÖRBY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45316</v>
      </c>
      <c r="E71" s="1" t="n">
        <v>46248</v>
      </c>
      <c r="F71" t="inlineStr">
        <is>
          <t>SKÅNE LÄN</t>
        </is>
      </c>
      <c r="G71" t="inlineStr">
        <is>
          <t>HÖRBY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46248</v>
      </c>
      <c r="F72" t="inlineStr">
        <is>
          <t>SKÅNE LÄN</t>
        </is>
      </c>
      <c r="G72" t="inlineStr">
        <is>
          <t>HÖRBY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45187</v>
      </c>
      <c r="E73" s="1" t="n">
        <v>46248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46248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67426-2021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46248</v>
      </c>
      <c r="F75" t="inlineStr">
        <is>
          <t>SKÅNE LÄN</t>
        </is>
      </c>
      <c r="G75" t="inlineStr">
        <is>
          <t>HÖRBY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46248</v>
      </c>
      <c r="F76" t="inlineStr">
        <is>
          <t>SKÅNE LÄN</t>
        </is>
      </c>
      <c r="G76" t="inlineStr">
        <is>
          <t>HÖRBY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46248</v>
      </c>
      <c r="F77" t="inlineStr">
        <is>
          <t>SKÅNE LÄN</t>
        </is>
      </c>
      <c r="G77" t="inlineStr">
        <is>
          <t>HÖRBY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45043</v>
      </c>
      <c r="E78" s="1" t="n">
        <v>46248</v>
      </c>
      <c r="F78" t="inlineStr">
        <is>
          <t>SKÅNE LÄN</t>
        </is>
      </c>
      <c r="G78" t="inlineStr">
        <is>
          <t>HÖRBY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45261</v>
      </c>
      <c r="E79" s="1" t="n">
        <v>46248</v>
      </c>
      <c r="F79" t="inlineStr">
        <is>
          <t>SKÅNE LÄN</t>
        </is>
      </c>
      <c r="G79" t="inlineStr">
        <is>
          <t>HÖRBY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46248</v>
      </c>
      <c r="F80" t="inlineStr">
        <is>
          <t>SKÅNE LÄN</t>
        </is>
      </c>
      <c r="G80" t="inlineStr">
        <is>
          <t>HÖRBY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45105</v>
      </c>
      <c r="E81" s="1" t="n">
        <v>46248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43685-2022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44837</v>
      </c>
      <c r="E82" s="1" t="n">
        <v>46248</v>
      </c>
      <c r="F82" t="inlineStr">
        <is>
          <t>SKÅNE LÄN</t>
        </is>
      </c>
      <c r="G82" t="inlineStr">
        <is>
          <t>HÖRBY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46248</v>
      </c>
      <c r="F83" t="inlineStr">
        <is>
          <t>SKÅNE LÄN</t>
        </is>
      </c>
      <c r="G83" t="inlineStr">
        <is>
          <t>HÖRBY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45128</v>
      </c>
      <c r="E84" s="1" t="n">
        <v>46248</v>
      </c>
      <c r="F84" t="inlineStr">
        <is>
          <t>SKÅNE LÄN</t>
        </is>
      </c>
      <c r="G84" t="inlineStr">
        <is>
          <t>HÖRBY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46248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45203</v>
      </c>
      <c r="E86" s="1" t="n">
        <v>46248</v>
      </c>
      <c r="F86" t="inlineStr">
        <is>
          <t>SKÅNE LÄN</t>
        </is>
      </c>
      <c r="G86" t="inlineStr">
        <is>
          <t>HÖRBY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46248</v>
      </c>
      <c r="F87" t="inlineStr">
        <is>
          <t>SKÅNE LÄN</t>
        </is>
      </c>
      <c r="G87" t="inlineStr">
        <is>
          <t>HÖRBY</t>
        </is>
      </c>
      <c r="H87" t="inlineStr">
        <is>
          <t>Kyrkan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45317</v>
      </c>
      <c r="E88" s="1" t="n">
        <v>46248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46248</v>
      </c>
      <c r="F89" t="inlineStr">
        <is>
          <t>SKÅNE LÄN</t>
        </is>
      </c>
      <c r="G89" t="inlineStr">
        <is>
          <t>HÖRBY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18603-2025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46248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39507-2024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45551</v>
      </c>
      <c r="E91" s="1" t="n">
        <v>46248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34422-2024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45525</v>
      </c>
      <c r="E92" s="1" t="n">
        <v>46248</v>
      </c>
      <c r="F92" t="inlineStr">
        <is>
          <t>SKÅNE LÄN</t>
        </is>
      </c>
      <c r="G92" t="inlineStr">
        <is>
          <t>HÖRBY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46248</v>
      </c>
      <c r="F93" t="inlineStr">
        <is>
          <t>SKÅNE LÄN</t>
        </is>
      </c>
      <c r="G93" t="inlineStr">
        <is>
          <t>HÖRBY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45363</v>
      </c>
      <c r="E94" s="1" t="n">
        <v>46248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46248</v>
      </c>
      <c r="F95" t="inlineStr">
        <is>
          <t>SKÅNE LÄN</t>
        </is>
      </c>
      <c r="G95" t="inlineStr">
        <is>
          <t>HÖRBY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46248</v>
      </c>
      <c r="F96" t="inlineStr">
        <is>
          <t>SKÅNE LÄN</t>
        </is>
      </c>
      <c r="G96" t="inlineStr">
        <is>
          <t>HÖRBY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45680</v>
      </c>
      <c r="E97" s="1" t="n">
        <v>46248</v>
      </c>
      <c r="F97" t="inlineStr">
        <is>
          <t>SKÅNE LÄN</t>
        </is>
      </c>
      <c r="G97" t="inlineStr">
        <is>
          <t>HÖRBY</t>
        </is>
      </c>
      <c r="H97" t="inlineStr">
        <is>
          <t>Kyrkan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46248</v>
      </c>
      <c r="F98" t="inlineStr">
        <is>
          <t>SKÅNE LÄN</t>
        </is>
      </c>
      <c r="G98" t="inlineStr">
        <is>
          <t>HÖRBY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46248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45187</v>
      </c>
      <c r="E100" s="1" t="n">
        <v>46248</v>
      </c>
      <c r="F100" t="inlineStr">
        <is>
          <t>SKÅNE LÄN</t>
        </is>
      </c>
      <c r="G100" t="inlineStr">
        <is>
          <t>HÖRBY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46248</v>
      </c>
      <c r="F101" t="inlineStr">
        <is>
          <t>SKÅNE LÄN</t>
        </is>
      </c>
      <c r="G101" t="inlineStr">
        <is>
          <t>HÖRBY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45176</v>
      </c>
      <c r="E102" s="1" t="n">
        <v>46248</v>
      </c>
      <c r="F102" t="inlineStr">
        <is>
          <t>SKÅNE LÄN</t>
        </is>
      </c>
      <c r="G102" t="inlineStr">
        <is>
          <t>HÖRBY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45104</v>
      </c>
      <c r="E103" s="1" t="n">
        <v>46248</v>
      </c>
      <c r="F103" t="inlineStr">
        <is>
          <t>SKÅNE LÄN</t>
        </is>
      </c>
      <c r="G103" t="inlineStr">
        <is>
          <t>HÖRBY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46248</v>
      </c>
      <c r="F104" t="inlineStr">
        <is>
          <t>SKÅNE LÄN</t>
        </is>
      </c>
      <c r="G104" t="inlineStr">
        <is>
          <t>HÖRBY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46248</v>
      </c>
      <c r="F105" t="inlineStr">
        <is>
          <t>SKÅNE LÄN</t>
        </is>
      </c>
      <c r="G105" t="inlineStr">
        <is>
          <t>HÖRBY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46248</v>
      </c>
      <c r="F106" t="inlineStr">
        <is>
          <t>SKÅNE LÄN</t>
        </is>
      </c>
      <c r="G106" t="inlineStr">
        <is>
          <t>HÖRBY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46248</v>
      </c>
      <c r="F107" t="inlineStr">
        <is>
          <t>SKÅNE LÄN</t>
        </is>
      </c>
      <c r="G107" t="inlineStr">
        <is>
          <t>HÖRBY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46248</v>
      </c>
      <c r="F108" t="inlineStr">
        <is>
          <t>SKÅNE LÄN</t>
        </is>
      </c>
      <c r="G108" t="inlineStr">
        <is>
          <t>HÖRBY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46248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45540</v>
      </c>
      <c r="E110" s="1" t="n">
        <v>46248</v>
      </c>
      <c r="F110" t="inlineStr">
        <is>
          <t>SKÅNE LÄN</t>
        </is>
      </c>
      <c r="G110" t="inlineStr">
        <is>
          <t>HÖRBY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46248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19420-2022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44693</v>
      </c>
      <c r="E112" s="1" t="n">
        <v>46248</v>
      </c>
      <c r="F112" t="inlineStr">
        <is>
          <t>SKÅNE LÄN</t>
        </is>
      </c>
      <c r="G112" t="inlineStr">
        <is>
          <t>HÖRBY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24670-2024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45460</v>
      </c>
      <c r="E113" s="1" t="n">
        <v>46248</v>
      </c>
      <c r="F113" t="inlineStr">
        <is>
          <t>SKÅNE LÄN</t>
        </is>
      </c>
      <c r="G113" t="inlineStr">
        <is>
          <t>HÖRBY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48427-2022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44858</v>
      </c>
      <c r="E114" s="1" t="n">
        <v>46248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44608</v>
      </c>
      <c r="E115" s="1" t="n">
        <v>46248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46248</v>
      </c>
      <c r="F116" t="inlineStr">
        <is>
          <t>SKÅNE LÄN</t>
        </is>
      </c>
      <c r="G116" t="inlineStr">
        <is>
          <t>HÖRBY</t>
        </is>
      </c>
      <c r="H116" t="inlineStr">
        <is>
          <t>Kyrkan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45572</v>
      </c>
      <c r="E117" s="1" t="n">
        <v>46248</v>
      </c>
      <c r="F117" t="inlineStr">
        <is>
          <t>SKÅNE LÄN</t>
        </is>
      </c>
      <c r="G117" t="inlineStr">
        <is>
          <t>HÖRBY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36689-2024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45537</v>
      </c>
      <c r="E118" s="1" t="n">
        <v>46248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9.5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46248</v>
      </c>
      <c r="F119" t="inlineStr">
        <is>
          <t>SKÅNE LÄN</t>
        </is>
      </c>
      <c r="G119" t="inlineStr">
        <is>
          <t>HÖRBY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46248</v>
      </c>
      <c r="F120" t="inlineStr">
        <is>
          <t>SKÅNE LÄN</t>
        </is>
      </c>
      <c r="G120" t="inlineStr">
        <is>
          <t>HÖRBY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46248</v>
      </c>
      <c r="F121" t="inlineStr">
        <is>
          <t>SKÅNE LÄN</t>
        </is>
      </c>
      <c r="G121" t="inlineStr">
        <is>
          <t>HÖRBY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44928</v>
      </c>
      <c r="E122" s="1" t="n">
        <v>46248</v>
      </c>
      <c r="F122" t="inlineStr">
        <is>
          <t>SKÅNE LÄN</t>
        </is>
      </c>
      <c r="G122" t="inlineStr">
        <is>
          <t>HÖRBY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46248</v>
      </c>
      <c r="F123" t="inlineStr">
        <is>
          <t>SKÅNE LÄN</t>
        </is>
      </c>
      <c r="G123" t="inlineStr">
        <is>
          <t>HÖRBY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46248</v>
      </c>
      <c r="F124" t="inlineStr">
        <is>
          <t>SKÅNE LÄN</t>
        </is>
      </c>
      <c r="G124" t="inlineStr">
        <is>
          <t>HÖRBY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46248</v>
      </c>
      <c r="F125" t="inlineStr">
        <is>
          <t>SKÅNE LÄN</t>
        </is>
      </c>
      <c r="G125" t="inlineStr">
        <is>
          <t>HÖRBY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46248</v>
      </c>
      <c r="F126" t="inlineStr">
        <is>
          <t>SKÅNE LÄN</t>
        </is>
      </c>
      <c r="G126" t="inlineStr">
        <is>
          <t>HÖRBY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44810</v>
      </c>
      <c r="E127" s="1" t="n">
        <v>46248</v>
      </c>
      <c r="F127" t="inlineStr">
        <is>
          <t>SKÅNE LÄN</t>
        </is>
      </c>
      <c r="G127" t="inlineStr">
        <is>
          <t>HÖRBY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46248</v>
      </c>
      <c r="F128" t="inlineStr">
        <is>
          <t>SKÅNE LÄN</t>
        </is>
      </c>
      <c r="G128" t="inlineStr">
        <is>
          <t>HÖRBY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45261</v>
      </c>
      <c r="E129" s="1" t="n">
        <v>46248</v>
      </c>
      <c r="F129" t="inlineStr">
        <is>
          <t>SKÅNE LÄN</t>
        </is>
      </c>
      <c r="G129" t="inlineStr">
        <is>
          <t>HÖRBY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45572</v>
      </c>
      <c r="E130" s="1" t="n">
        <v>46248</v>
      </c>
      <c r="F130" t="inlineStr">
        <is>
          <t>SKÅNE LÄN</t>
        </is>
      </c>
      <c r="G130" t="inlineStr">
        <is>
          <t>HÖRBY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45521</v>
      </c>
      <c r="E131" s="1" t="n">
        <v>46248</v>
      </c>
      <c r="F131" t="inlineStr">
        <is>
          <t>SKÅNE LÄN</t>
        </is>
      </c>
      <c r="G131" t="inlineStr">
        <is>
          <t>HÖRBY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45728</v>
      </c>
      <c r="E132" s="1" t="n">
        <v>46248</v>
      </c>
      <c r="F132" t="inlineStr">
        <is>
          <t>SKÅNE LÄN</t>
        </is>
      </c>
      <c r="G132" t="inlineStr">
        <is>
          <t>HÖRBY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46248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37082-2023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45155</v>
      </c>
      <c r="E134" s="1" t="n">
        <v>46248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44834</v>
      </c>
      <c r="E135" s="1" t="n">
        <v>46248</v>
      </c>
      <c r="F135" t="inlineStr">
        <is>
          <t>SKÅNE LÄN</t>
        </is>
      </c>
      <c r="G135" t="inlineStr">
        <is>
          <t>HÖRBY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46248</v>
      </c>
      <c r="F136" t="inlineStr">
        <is>
          <t>SKÅNE LÄN</t>
        </is>
      </c>
      <c r="G136" t="inlineStr">
        <is>
          <t>HÖRBY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45680</v>
      </c>
      <c r="E137" s="1" t="n">
        <v>46248</v>
      </c>
      <c r="F137" t="inlineStr">
        <is>
          <t>SKÅNE LÄN</t>
        </is>
      </c>
      <c r="G137" t="inlineStr">
        <is>
          <t>HÖRBY</t>
        </is>
      </c>
      <c r="H137" t="inlineStr">
        <is>
          <t>Kyrkan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46248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46248</v>
      </c>
      <c r="F139" t="inlineStr">
        <is>
          <t>SKÅNE LÄN</t>
        </is>
      </c>
      <c r="G139" t="inlineStr">
        <is>
          <t>HÖRBY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46248</v>
      </c>
      <c r="F140" t="inlineStr">
        <is>
          <t>SKÅNE LÄN</t>
        </is>
      </c>
      <c r="G140" t="inlineStr">
        <is>
          <t>HÖRBY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46248</v>
      </c>
      <c r="F141" t="inlineStr">
        <is>
          <t>SKÅNE LÄN</t>
        </is>
      </c>
      <c r="G141" t="inlineStr">
        <is>
          <t>HÖRBY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45502</v>
      </c>
      <c r="E142" s="1" t="n">
        <v>46248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45391</v>
      </c>
      <c r="E143" s="1" t="n">
        <v>46248</v>
      </c>
      <c r="F143" t="inlineStr">
        <is>
          <t>SKÅNE LÄN</t>
        </is>
      </c>
      <c r="G143" t="inlineStr">
        <is>
          <t>HÖRBY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46248</v>
      </c>
      <c r="F144" t="inlineStr">
        <is>
          <t>SKÅNE LÄN</t>
        </is>
      </c>
      <c r="G144" t="inlineStr">
        <is>
          <t>HÖRBY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46248</v>
      </c>
      <c r="F145" t="inlineStr">
        <is>
          <t>SKÅNE LÄN</t>
        </is>
      </c>
      <c r="G145" t="inlineStr">
        <is>
          <t>HÖRBY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46248</v>
      </c>
      <c r="F146" t="inlineStr">
        <is>
          <t>SKÅNE LÄN</t>
        </is>
      </c>
      <c r="G146" t="inlineStr">
        <is>
          <t>HÖRBY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45754</v>
      </c>
      <c r="E147" s="1" t="n">
        <v>46248</v>
      </c>
      <c r="F147" t="inlineStr">
        <is>
          <t>SKÅNE LÄN</t>
        </is>
      </c>
      <c r="G147" t="inlineStr">
        <is>
          <t>HÖRBY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43711-2024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45569</v>
      </c>
      <c r="E148" s="1" t="n">
        <v>46248</v>
      </c>
      <c r="F148" t="inlineStr">
        <is>
          <t>SKÅNE LÄN</t>
        </is>
      </c>
      <c r="G148" t="inlineStr">
        <is>
          <t>HÖRBY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46248</v>
      </c>
      <c r="F149" t="inlineStr">
        <is>
          <t>SKÅNE LÄN</t>
        </is>
      </c>
      <c r="G149" t="inlineStr">
        <is>
          <t>HÖRBY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46248</v>
      </c>
      <c r="F150" t="inlineStr">
        <is>
          <t>SKÅNE LÄN</t>
        </is>
      </c>
      <c r="G150" t="inlineStr">
        <is>
          <t>HÖRBY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46248</v>
      </c>
      <c r="F151" t="inlineStr">
        <is>
          <t>SKÅNE LÄN</t>
        </is>
      </c>
      <c r="G151" t="inlineStr">
        <is>
          <t>HÖRBY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46248</v>
      </c>
      <c r="F152" t="inlineStr">
        <is>
          <t>SKÅNE LÄN</t>
        </is>
      </c>
      <c r="G152" t="inlineStr">
        <is>
          <t>HÖRBY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46248</v>
      </c>
      <c r="F153" t="inlineStr">
        <is>
          <t>SKÅNE LÄN</t>
        </is>
      </c>
      <c r="G153" t="inlineStr">
        <is>
          <t>HÖRBY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45287</v>
      </c>
      <c r="E154" s="1" t="n">
        <v>46248</v>
      </c>
      <c r="F154" t="inlineStr">
        <is>
          <t>SKÅNE LÄN</t>
        </is>
      </c>
      <c r="G154" t="inlineStr">
        <is>
          <t>HÖRBY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6558-2025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45699</v>
      </c>
      <c r="E155" s="1" t="n">
        <v>46248</v>
      </c>
      <c r="F155" t="inlineStr">
        <is>
          <t>SKÅNE LÄN</t>
        </is>
      </c>
      <c r="G155" t="inlineStr">
        <is>
          <t>HÖRBY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46248</v>
      </c>
      <c r="F156" t="inlineStr">
        <is>
          <t>SKÅNE LÄN</t>
        </is>
      </c>
      <c r="G156" t="inlineStr">
        <is>
          <t>HÖRBY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46248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46248</v>
      </c>
      <c r="F158" t="inlineStr">
        <is>
          <t>SKÅNE LÄN</t>
        </is>
      </c>
      <c r="G158" t="inlineStr">
        <is>
          <t>HÖRBY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46248</v>
      </c>
      <c r="F159" t="inlineStr">
        <is>
          <t>SKÅNE LÄN</t>
        </is>
      </c>
      <c r="G159" t="inlineStr">
        <is>
          <t>HÖRBY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46248</v>
      </c>
      <c r="F160" t="inlineStr">
        <is>
          <t>SKÅNE LÄN</t>
        </is>
      </c>
      <c r="G160" t="inlineStr">
        <is>
          <t>HÖRBY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46248</v>
      </c>
      <c r="F161" t="inlineStr">
        <is>
          <t>SKÅNE LÄN</t>
        </is>
      </c>
      <c r="G161" t="inlineStr">
        <is>
          <t>HÖRBY</t>
        </is>
      </c>
      <c r="H161" t="inlineStr">
        <is>
          <t>Kyrkan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46248</v>
      </c>
      <c r="F162" t="inlineStr">
        <is>
          <t>SKÅNE LÄN</t>
        </is>
      </c>
      <c r="G162" t="inlineStr">
        <is>
          <t>HÖRBY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44814</v>
      </c>
      <c r="E163" s="1" t="n">
        <v>46248</v>
      </c>
      <c r="F163" t="inlineStr">
        <is>
          <t>SKÅNE LÄN</t>
        </is>
      </c>
      <c r="G163" t="inlineStr">
        <is>
          <t>HÖRBY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45868</v>
      </c>
      <c r="E164" s="1" t="n">
        <v>46248</v>
      </c>
      <c r="F164" t="inlineStr">
        <is>
          <t>SKÅNE LÄN</t>
        </is>
      </c>
      <c r="G164" t="inlineStr">
        <is>
          <t>HÖRBY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45868</v>
      </c>
      <c r="E165" s="1" t="n">
        <v>46248</v>
      </c>
      <c r="F165" t="inlineStr">
        <is>
          <t>SKÅNE LÄN</t>
        </is>
      </c>
      <c r="G165" t="inlineStr">
        <is>
          <t>HÖRBY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46248</v>
      </c>
      <c r="F166" t="inlineStr">
        <is>
          <t>SKÅNE LÄN</t>
        </is>
      </c>
      <c r="G166" t="inlineStr">
        <is>
          <t>HÖRBY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45224</v>
      </c>
      <c r="E167" s="1" t="n">
        <v>46248</v>
      </c>
      <c r="F167" t="inlineStr">
        <is>
          <t>SKÅNE LÄN</t>
        </is>
      </c>
      <c r="G167" t="inlineStr">
        <is>
          <t>HÖRBY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46248</v>
      </c>
      <c r="F168" t="inlineStr">
        <is>
          <t>SKÅNE LÄN</t>
        </is>
      </c>
      <c r="G168" t="inlineStr">
        <is>
          <t>HÖRBY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45673</v>
      </c>
      <c r="E169" s="1" t="n">
        <v>46248</v>
      </c>
      <c r="F169" t="inlineStr">
        <is>
          <t>SKÅNE LÄN</t>
        </is>
      </c>
      <c r="G169" t="inlineStr">
        <is>
          <t>HÖRBY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46248</v>
      </c>
      <c r="F170" t="inlineStr">
        <is>
          <t>SKÅNE LÄN</t>
        </is>
      </c>
      <c r="G170" t="inlineStr">
        <is>
          <t>HÖRBY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46248</v>
      </c>
      <c r="F171" t="inlineStr">
        <is>
          <t>SKÅNE LÄN</t>
        </is>
      </c>
      <c r="G171" t="inlineStr">
        <is>
          <t>HÖRBY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46248</v>
      </c>
      <c r="F172" t="inlineStr">
        <is>
          <t>SKÅNE LÄN</t>
        </is>
      </c>
      <c r="G172" t="inlineStr">
        <is>
          <t>HÖRBY</t>
        </is>
      </c>
      <c r="I172" t="n">
        <v>18.7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46248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51757-2025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45951</v>
      </c>
      <c r="E174" s="1" t="n">
        <v>46248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46248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46248</v>
      </c>
      <c r="F176" t="inlineStr">
        <is>
          <t>SKÅNE LÄN</t>
        </is>
      </c>
      <c r="G176" t="inlineStr">
        <is>
          <t>HÖRBY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46248</v>
      </c>
      <c r="F177" t="inlineStr">
        <is>
          <t>SKÅNE LÄN</t>
        </is>
      </c>
      <c r="G177" t="inlineStr">
        <is>
          <t>HÖRBY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46248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46218</v>
      </c>
      <c r="E179" s="1" t="n">
        <v>46248</v>
      </c>
      <c r="F179" t="inlineStr">
        <is>
          <t>SKÅNE LÄN</t>
        </is>
      </c>
      <c r="G179" t="inlineStr">
        <is>
          <t>HÖRBY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46248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46248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46248</v>
      </c>
      <c r="F182" t="inlineStr">
        <is>
          <t>SKÅNE LÄN</t>
        </is>
      </c>
      <c r="G182" t="inlineStr">
        <is>
          <t>HÖRBY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55304-2025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45970</v>
      </c>
      <c r="E183" s="1" t="n">
        <v>46248</v>
      </c>
      <c r="F183" t="inlineStr">
        <is>
          <t>SKÅNE LÄN</t>
        </is>
      </c>
      <c r="G183" t="inlineStr">
        <is>
          <t>HÖRBY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45970</v>
      </c>
      <c r="E184" s="1" t="n">
        <v>46248</v>
      </c>
      <c r="F184" t="inlineStr">
        <is>
          <t>SKÅNE LÄN</t>
        </is>
      </c>
      <c r="G184" t="inlineStr">
        <is>
          <t>HÖRBY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46248</v>
      </c>
      <c r="F185" t="inlineStr">
        <is>
          <t>SKÅNE LÄN</t>
        </is>
      </c>
      <c r="G185" t="inlineStr">
        <is>
          <t>HÖRBY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46248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46248</v>
      </c>
      <c r="F187" t="inlineStr">
        <is>
          <t>SKÅNE LÄN</t>
        </is>
      </c>
      <c r="G187" t="inlineStr">
        <is>
          <t>HÖRBY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46248</v>
      </c>
      <c r="F188" t="inlineStr">
        <is>
          <t>SKÅNE LÄN</t>
        </is>
      </c>
      <c r="G188" t="inlineStr">
        <is>
          <t>HÖRBY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46248</v>
      </c>
      <c r="F189" t="inlineStr">
        <is>
          <t>SKÅNE LÄN</t>
        </is>
      </c>
      <c r="G189" t="inlineStr">
        <is>
          <t>HÖRBY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46248</v>
      </c>
      <c r="F190" t="inlineStr">
        <is>
          <t>SKÅNE LÄN</t>
        </is>
      </c>
      <c r="G190" t="inlineStr">
        <is>
          <t>HÖRBY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46112</v>
      </c>
      <c r="E191" s="1" t="n">
        <v>46248</v>
      </c>
      <c r="F191" t="inlineStr">
        <is>
          <t>SKÅNE LÄN</t>
        </is>
      </c>
      <c r="G191" t="inlineStr">
        <is>
          <t>HÖRBY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45970</v>
      </c>
      <c r="E192" s="1" t="n">
        <v>46248</v>
      </c>
      <c r="F192" t="inlineStr">
        <is>
          <t>SKÅNE LÄN</t>
        </is>
      </c>
      <c r="G192" t="inlineStr">
        <is>
          <t>HÖRBY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29138-2026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46202</v>
      </c>
      <c r="E193" s="1" t="n">
        <v>46248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46248</v>
      </c>
      <c r="F194" t="inlineStr">
        <is>
          <t>SKÅNE LÄN</t>
        </is>
      </c>
      <c r="G194" t="inlineStr">
        <is>
          <t>HÖRBY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29135-2026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46202</v>
      </c>
      <c r="E195" s="1" t="n">
        <v>46248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29137-2026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46202</v>
      </c>
      <c r="E196" s="1" t="n">
        <v>46248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46248</v>
      </c>
      <c r="F197" t="inlineStr">
        <is>
          <t>SKÅNE LÄN</t>
        </is>
      </c>
      <c r="G197" t="inlineStr">
        <is>
          <t>HÖRBY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46248</v>
      </c>
      <c r="F198" t="inlineStr">
        <is>
          <t>SKÅNE LÄN</t>
        </is>
      </c>
      <c r="G198" t="inlineStr">
        <is>
          <t>HÖRBY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46248</v>
      </c>
      <c r="F199" t="inlineStr">
        <is>
          <t>SKÅNE LÄN</t>
        </is>
      </c>
      <c r="G199" t="inlineStr">
        <is>
          <t>HÖRBY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23606-2026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46162</v>
      </c>
      <c r="E200" s="1" t="n">
        <v>46248</v>
      </c>
      <c r="F200" t="inlineStr">
        <is>
          <t>SKÅNE LÄN</t>
        </is>
      </c>
      <c r="G200" t="inlineStr">
        <is>
          <t>HÖRBY</t>
        </is>
      </c>
      <c r="I200" t="n">
        <v>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46248</v>
      </c>
      <c r="F201" t="inlineStr">
        <is>
          <t>SKÅNE LÄN</t>
        </is>
      </c>
      <c r="G201" t="inlineStr">
        <is>
          <t>HÖRBY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46248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46248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46248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46248</v>
      </c>
      <c r="F205" t="inlineStr">
        <is>
          <t>SKÅNE LÄN</t>
        </is>
      </c>
      <c r="G205" t="inlineStr">
        <is>
          <t>HÖRBY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46248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46248</v>
      </c>
      <c r="F207" t="inlineStr">
        <is>
          <t>SKÅNE LÄN</t>
        </is>
      </c>
      <c r="G207" t="inlineStr">
        <is>
          <t>HÖRBY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46064</v>
      </c>
      <c r="E208" s="1" t="n">
        <v>46248</v>
      </c>
      <c r="F208" t="inlineStr">
        <is>
          <t>SKÅNE LÄN</t>
        </is>
      </c>
      <c r="G208" t="inlineStr">
        <is>
          <t>HÖRBY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46248</v>
      </c>
      <c r="F209" t="inlineStr">
        <is>
          <t>SKÅNE LÄN</t>
        </is>
      </c>
      <c r="G209" t="inlineStr">
        <is>
          <t>HÖRBY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8259-2026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46248</v>
      </c>
      <c r="F210" t="inlineStr">
        <is>
          <t>SKÅNE LÄN</t>
        </is>
      </c>
      <c r="G210" t="inlineStr">
        <is>
          <t>HÖRBY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46248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46248</v>
      </c>
      <c r="F212" t="inlineStr">
        <is>
          <t>SKÅNE LÄN</t>
        </is>
      </c>
      <c r="G212" t="inlineStr">
        <is>
          <t>HÖRBY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46248</v>
      </c>
      <c r="F213" t="inlineStr">
        <is>
          <t>SKÅNE LÄN</t>
        </is>
      </c>
      <c r="G213" t="inlineStr">
        <is>
          <t>HÖRBY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46248</v>
      </c>
      <c r="F214" t="inlineStr">
        <is>
          <t>SKÅNE LÄN</t>
        </is>
      </c>
      <c r="G214" t="inlineStr">
        <is>
          <t>HÖRBY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46248</v>
      </c>
      <c r="F215" t="inlineStr">
        <is>
          <t>SKÅNE LÄN</t>
        </is>
      </c>
      <c r="G215" t="inlineStr">
        <is>
          <t>HÖRBY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46072</v>
      </c>
      <c r="E216" s="1" t="n">
        <v>46248</v>
      </c>
      <c r="F216" t="inlineStr">
        <is>
          <t>SKÅNE LÄN</t>
        </is>
      </c>
      <c r="G216" t="inlineStr">
        <is>
          <t>HÖRBY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46248</v>
      </c>
      <c r="F217" t="inlineStr">
        <is>
          <t>SKÅNE LÄN</t>
        </is>
      </c>
      <c r="G217" t="inlineStr">
        <is>
          <t>HÖRBY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3888-2023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45230</v>
      </c>
      <c r="E218" s="1" t="n">
        <v>46248</v>
      </c>
      <c r="F218" t="inlineStr">
        <is>
          <t>SKÅNE LÄN</t>
        </is>
      </c>
      <c r="G218" t="inlineStr">
        <is>
          <t>HÖRBY</t>
        </is>
      </c>
      <c r="I218" t="n">
        <v>13.9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4691-2022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44796</v>
      </c>
      <c r="E219" s="1" t="n">
        <v>46248</v>
      </c>
      <c r="F219" t="inlineStr">
        <is>
          <t>SKÅNE LÄN</t>
        </is>
      </c>
      <c r="G219" t="inlineStr">
        <is>
          <t>HÖRBY</t>
        </is>
      </c>
      <c r="I219" t="n">
        <v>39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734-2025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45722</v>
      </c>
      <c r="E220" s="1" t="n">
        <v>46248</v>
      </c>
      <c r="F220" t="inlineStr">
        <is>
          <t>SKÅNE LÄN</t>
        </is>
      </c>
      <c r="G220" t="inlineStr">
        <is>
          <t>HÖRBY</t>
        </is>
      </c>
      <c r="I220" t="n">
        <v>27.4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144-2026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46042</v>
      </c>
      <c r="E221" s="1" t="n">
        <v>46248</v>
      </c>
      <c r="F221" t="inlineStr">
        <is>
          <t>SKÅNE LÄN</t>
        </is>
      </c>
      <c r="G221" t="inlineStr">
        <is>
          <t>HÖRBY</t>
        </is>
      </c>
      <c r="I221" t="n">
        <v>18.3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1874-2026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46248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1875-2026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46248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1873-2026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46248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220-2026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46051</v>
      </c>
      <c r="E225" s="1" t="n">
        <v>46248</v>
      </c>
      <c r="F225" t="inlineStr">
        <is>
          <t>SKÅNE LÄN</t>
        </is>
      </c>
      <c r="G225" t="inlineStr">
        <is>
          <t>HÖRBY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2026-08-14T01:55:48Z</dcterms:created>
  <dcterms:modified xmlns:dcterms="http://purl.org/dc/terms/" xmlns:xsi="http://www.w3.org/2001/XMLSchema-instance" xsi:type="dcterms:W3CDTF">2026-08-14T01:55:48Z</dcterms:modified>
</cp:coreProperties>
</file>