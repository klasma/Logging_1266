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46229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46229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46229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46229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t="n">
        <v>8</v>
      </c>
      <c r="V5" s="2" t="inlineStr">
        <is>
          <t>Borsttåg
Mörk dunört
Blåbär
Skogsstjärna
Stjärnstarr
Sälg
Ängskovall
Kopparödla
Skogsödla</t>
        </is>
      </c>
      <c r="W5">
        <f>HYPERLINK("https://klasma.github.io/Logging_1266/artfynd/S 4921-2021 artfynd.xlsx", "S 4921-2021")</f>
        <v/>
      </c>
      <c r="X5">
        <f>HYPERLINK("https://klasma.github.io/Logging_1266/kartor/S 4921-2021 karta.png", "S 4921-2021")</f>
        <v/>
      </c>
      <c r="Y5">
        <f>HYPERLINK("https://klasma.github.io/Logging_1266/kartor_geotiff/S 4921-2021 georefererad karta.tif", "S 4921-2021")</f>
        <v/>
      </c>
      <c r="AA5">
        <f>HYPERLINK("https://klasma.github.io/Logging_1266/klagomål/S 4921-2021 FSC-klagomål.docx", "S 4921-2021")</f>
        <v/>
      </c>
      <c r="AB5">
        <f>HYPERLINK("https://klasma.github.io/Logging_1266/klagomålsmail/S 4921-2021 FSC-klagomål mail.docx", "S 4921-2021")</f>
        <v/>
      </c>
      <c r="AC5">
        <f>HYPERLINK("https://klasma.github.io/Logging_1266/tillsyn/S 4921-2021 tillsynsbegäran.docx", "S 4921-2021")</f>
        <v/>
      </c>
      <c r="AD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46229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t="n">
        <v>7</v>
      </c>
      <c r="V6" s="2" t="inlineStr">
        <is>
          <t>Borsttåg
Mörk dunört
Blåbär
Skogsstjärna
Stjärnstarr
Sälg
Ängskovall
Kopparödla</t>
        </is>
      </c>
      <c r="W6">
        <f>HYPERLINK("https://klasma.github.io/Logging_1266/artfynd/S 1478-2025 artfynd.xlsx", "S 1478-2025")</f>
        <v/>
      </c>
      <c r="X6">
        <f>HYPERLINK("https://klasma.github.io/Logging_1266/kartor/S 1478-2025 karta.png", "S 1478-2025")</f>
        <v/>
      </c>
      <c r="Y6">
        <f>HYPERLINK("https://klasma.github.io/Logging_1266/kartor_geotiff/S 1478-2025 georefererad karta.tif", "S 1478-2025")</f>
        <v/>
      </c>
      <c r="AA6">
        <f>HYPERLINK("https://klasma.github.io/Logging_1266/klagomål/S 1478-2025 FSC-klagomål.docx", "S 1478-2025")</f>
        <v/>
      </c>
      <c r="AB6">
        <f>HYPERLINK("https://klasma.github.io/Logging_1266/klagomålsmail/S 1478-2025 FSC-klagomål mail.docx", "S 1478-2025")</f>
        <v/>
      </c>
      <c r="AC6">
        <f>HYPERLINK("https://klasma.github.io/Logging_1266/tillsyn/S 1478-2025 tillsynsbegäran.docx", "S 1478-2025")</f>
        <v/>
      </c>
      <c r="AD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46229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t="n">
        <v>5</v>
      </c>
      <c r="V7" s="2" t="inlineStr">
        <is>
          <t>Grönsångare
Gulsparv
Mindre hackspett
Gulplister
Liljekonvalj
Spillkråka
Kråka
Svartvit flugsnappare</t>
        </is>
      </c>
      <c r="W7">
        <f>HYPERLINK("https://klasma.github.io/Logging_1266/artfynd/S 1447-2026 artfynd.xlsx", "S 1447-2026")</f>
        <v/>
      </c>
      <c r="X7">
        <f>HYPERLINK("https://klasma.github.io/Logging_1266/kartor/S 1447-2026 karta.png", "S 1447-2026")</f>
        <v/>
      </c>
      <c r="Y7">
        <f>HYPERLINK("https://klasma.github.io/Logging_1266/kartor_geotiff/S 1447-2026 georefererad karta.tif", "S 1447-2026")</f>
        <v/>
      </c>
      <c r="AA7">
        <f>HYPERLINK("https://klasma.github.io/Logging_1266/klagomål/S 1447-2026 FSC-klagomål.docx", "S 1447-2026")</f>
        <v/>
      </c>
      <c r="AB7">
        <f>HYPERLINK("https://klasma.github.io/Logging_1266/klagomålsmail/S 1447-2026 FSC-klagomål mail.docx", "S 1447-2026")</f>
        <v/>
      </c>
      <c r="AC7">
        <f>HYPERLINK("https://klasma.github.io/Logging_1266/tillsyn/S 1447-2026 tillsynsbegäran.docx", "S 1447-2026")</f>
        <v/>
      </c>
      <c r="AD7">
        <f>HYPERLINK("https://klasma.github.io/Logging_1266/tillsynsmail/S 1447-2026 tillsynsbegäran mail.docx", "S 1447-2026")</f>
        <v/>
      </c>
      <c r="AE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46229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Mindre hackspett
Scharlakansskål
Spillkråka
Kråka
Näktergal
Skogsödla
Grönvit nattviol</t>
        </is>
      </c>
      <c r="W8">
        <f>HYPERLINK("https://klasma.github.io/Logging_1266/artfynd/A 56742-2023 artfynd.xlsx", "A 56742-2023")</f>
        <v/>
      </c>
      <c r="X8">
        <f>HYPERLINK("https://klasma.github.io/Logging_1266/kartor/A 56742-2023 karta.png", "A 56742-2023")</f>
        <v/>
      </c>
      <c r="Y8">
        <f>HYPERLINK("https://klasma.github.io/Logging_1266/kartor_geotiff/A 56742-2023 georefererad karta.tif", "A 56742-2023")</f>
        <v/>
      </c>
      <c r="AA8">
        <f>HYPERLINK("https://klasma.github.io/Logging_1266/klagomål/A 56742-2023 FSC-klagomål.docx", "A 56742-2023")</f>
        <v/>
      </c>
      <c r="AB8">
        <f>HYPERLINK("https://klasma.github.io/Logging_1266/klagomålsmail/A 56742-2023 FSC-klagomål mail.docx", "A 56742-2023")</f>
        <v/>
      </c>
      <c r="AC8">
        <f>HYPERLINK("https://klasma.github.io/Logging_1266/tillsyn/A 56742-2023 tillsynsbegäran.docx", "A 56742-2023")</f>
        <v/>
      </c>
      <c r="AD8">
        <f>HYPERLINK("https://klasma.github.io/Logging_1266/tillsynsmail/A 56742-2023 tillsynsbegäran mail.docx", "A 56742-2023")</f>
        <v/>
      </c>
      <c r="AE8">
        <f>HYPERLINK("https://klasma.github.io/Logging_1266/fåglar/A 56742-2023 prioriterade fågelarter.docx", "A 56742-2023")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46229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46229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31351-2022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44774</v>
      </c>
      <c r="E11" s="1" t="n">
        <v>46229</v>
      </c>
      <c r="F11" t="inlineStr">
        <is>
          <t>SKÅNE LÄN</t>
        </is>
      </c>
      <c r="G11" t="inlineStr">
        <is>
          <t>HÖRBY</t>
        </is>
      </c>
      <c r="I11" t="n">
        <v>13.2</v>
      </c>
      <c r="J11" t="n">
        <v>5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t="n">
        <v>3</v>
      </c>
      <c r="V11" s="2" t="inlineStr">
        <is>
          <t>Duvhök
Grönsångare
Sädesärla
Fjällvråk
Kungsfågel</t>
        </is>
      </c>
      <c r="W11">
        <f>HYPERLINK("https://klasma.github.io/Logging_1266/artfynd/A 31351-2022 artfynd.xlsx", "A 31351-2022")</f>
        <v/>
      </c>
      <c r="X11">
        <f>HYPERLINK("https://klasma.github.io/Logging_1266/kartor/A 31351-2022 karta.png", "A 31351-2022")</f>
        <v/>
      </c>
      <c r="Y11">
        <f>HYPERLINK("https://klasma.github.io/Logging_1266/kartor_geotiff/A 31351-2022 georefererad karta.tif", "A 31351-2022")</f>
        <v/>
      </c>
      <c r="AA11">
        <f>HYPERLINK("https://klasma.github.io/Logging_1266/klagomål/A 31351-2022 FSC-klagomål.docx", "A 31351-2022")</f>
        <v/>
      </c>
      <c r="AB11">
        <f>HYPERLINK("https://klasma.github.io/Logging_1266/klagomålsmail/A 31351-2022 FSC-klagomål mail.docx", "A 31351-2022")</f>
        <v/>
      </c>
      <c r="AC11">
        <f>HYPERLINK("https://klasma.github.io/Logging_1266/tillsyn/A 31351-2022 tillsynsbegäran.docx", "A 31351-2022")</f>
        <v/>
      </c>
      <c r="AD11">
        <f>HYPERLINK("https://klasma.github.io/Logging_1266/tillsynsmail/A 31351-2022 tillsynsbegäran mail.docx", "A 31351-2022")</f>
        <v/>
      </c>
      <c r="AE11">
        <f>HYPERLINK("https://klasma.github.io/Logging_1266/fåglar/A 31351-2022 prioriterade fågelarter.docx", "A 31351-2022")</f>
        <v/>
      </c>
    </row>
    <row r="12" ht="15" customHeight="1">
      <c r="A12" t="inlineStr">
        <is>
          <t>A 20194-2024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45434</v>
      </c>
      <c r="E12" s="1" t="n">
        <v>46229</v>
      </c>
      <c r="F12" t="inlineStr">
        <is>
          <t>SKÅNE LÄN</t>
        </is>
      </c>
      <c r="G12" t="inlineStr">
        <is>
          <t>HÖRBY</t>
        </is>
      </c>
      <c r="I12" t="n">
        <v>4.4</v>
      </c>
      <c r="J12" t="n">
        <v>0</v>
      </c>
      <c r="K12" t="n">
        <v>2</v>
      </c>
      <c r="L12" t="n">
        <v>0</v>
      </c>
      <c r="M12" t="n">
        <v>0</v>
      </c>
      <c r="N12" t="n">
        <v>2</v>
      </c>
      <c r="O12" t="n">
        <v>1</v>
      </c>
      <c r="P12" t="n">
        <v>0</v>
      </c>
      <c r="Q12" t="n">
        <v>3</v>
      </c>
      <c r="R12" t="n">
        <v>3</v>
      </c>
      <c r="S12" t="n">
        <v>5</v>
      </c>
      <c r="T12" t="n">
        <v>5</v>
      </c>
      <c r="U12" t="n">
        <v>0</v>
      </c>
      <c r="V12" s="2" t="inlineStr">
        <is>
          <t>Naverlönn
Ask
Skogsalm
Scharlakansskål
Stor häxört</t>
        </is>
      </c>
      <c r="W12">
        <f>HYPERLINK("https://klasma.github.io/Logging_1266/artfynd/A 20194-2024 artfynd.xlsx", "A 20194-2024")</f>
        <v/>
      </c>
      <c r="X12">
        <f>HYPERLINK("https://klasma.github.io/Logging_1266/kartor/A 20194-2024 karta.png", "A 20194-2024")</f>
        <v/>
      </c>
      <c r="Y12">
        <f>HYPERLINK("https://klasma.github.io/Logging_1266/kartor_geotiff/A 20194-2024 georefererad karta.tif", "A 20194-2024")</f>
        <v/>
      </c>
      <c r="AA12">
        <f>HYPERLINK("https://klasma.github.io/Logging_1266/klagomål/A 20194-2024 FSC-klagomål.docx", "A 20194-2024")</f>
        <v/>
      </c>
      <c r="AB12">
        <f>HYPERLINK("https://klasma.github.io/Logging_1266/klagomålsmail/A 20194-2024 FSC-klagomål mail.docx", "A 20194-2024")</f>
        <v/>
      </c>
      <c r="AC12">
        <f>HYPERLINK("https://klasma.github.io/Logging_1266/tillsyn/A 20194-2024 tillsynsbegäran.docx", "A 20194-2024")</f>
        <v/>
      </c>
      <c r="AD12">
        <f>HYPERLINK("https://klasma.github.io/Logging_1266/tillsynsmail/A 20194-2024 tillsynsbegäran mail.docx", "A 20194-2024")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46229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46229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46229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t="n">
        <v>0</v>
      </c>
      <c r="V15" s="2" t="inlineStr">
        <is>
          <t>Ask
Skogsalm
Gullpudra
Trubbfjädermossa</t>
        </is>
      </c>
      <c r="W15">
        <f>HYPERLINK("https://klasma.github.io/Logging_1266/artfynd/A 5619-2024 artfynd.xlsx", "A 5619-2024")</f>
        <v/>
      </c>
      <c r="X15">
        <f>HYPERLINK("https://klasma.github.io/Logging_1266/kartor/A 5619-2024 karta.png", "A 5619-2024")</f>
        <v/>
      </c>
      <c r="Y15">
        <f>HYPERLINK("https://klasma.github.io/Logging_1266/kartor_geotiff/A 5619-2024 georefererad karta.tif", "A 5619-2024")</f>
        <v/>
      </c>
      <c r="AA15">
        <f>HYPERLINK("https://klasma.github.io/Logging_1266/klagomål/A 5619-2024 FSC-klagomål.docx", "A 5619-2024")</f>
        <v/>
      </c>
      <c r="AB15">
        <f>HYPERLINK("https://klasma.github.io/Logging_1266/klagomålsmail/A 5619-2024 FSC-klagomål mail.docx", "A 5619-2024")</f>
        <v/>
      </c>
      <c r="AC15">
        <f>HYPERLINK("https://klasma.github.io/Logging_1266/tillsyn/A 5619-2024 tillsynsbegäran.docx", "A 5619-2024")</f>
        <v/>
      </c>
      <c r="AD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46229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46229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46229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46229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2823-2025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45677</v>
      </c>
      <c r="E20" s="1" t="n">
        <v>46229</v>
      </c>
      <c r="F20" t="inlineStr">
        <is>
          <t>SKÅNE LÄN</t>
        </is>
      </c>
      <c r="G20" t="inlineStr">
        <is>
          <t>HÖRBY</t>
        </is>
      </c>
      <c r="I20" t="n">
        <v>21.1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Borsttåg
Grönvit nattviol
Revlummer</t>
        </is>
      </c>
      <c r="W20">
        <f>HYPERLINK("https://klasma.github.io/Logging_1266/artfynd/A 2823-2025 artfynd.xlsx", "A 2823-2025")</f>
        <v/>
      </c>
      <c r="X20">
        <f>HYPERLINK("https://klasma.github.io/Logging_1266/kartor/A 2823-2025 karta.png", "A 2823-2025")</f>
        <v/>
      </c>
      <c r="Y20">
        <f>HYPERLINK("https://klasma.github.io/Logging_1266/kartor_geotiff/A 2823-2025 georefererad karta.tif", "A 2823-2025")</f>
        <v/>
      </c>
      <c r="AA20">
        <f>HYPERLINK("https://klasma.github.io/Logging_1266/klagomål/A 2823-2025 FSC-klagomål.docx", "A 2823-2025")</f>
        <v/>
      </c>
      <c r="AB20">
        <f>HYPERLINK("https://klasma.github.io/Logging_1266/klagomålsmail/A 2823-2025 FSC-klagomål mail.docx", "A 2823-2025")</f>
        <v/>
      </c>
      <c r="AC20">
        <f>HYPERLINK("https://klasma.github.io/Logging_1266/tillsyn/A 2823-2025 tillsynsbegäran.docx", "A 2823-2025")</f>
        <v/>
      </c>
      <c r="AD20">
        <f>HYPERLINK("https://klasma.github.io/Logging_1266/tillsynsmail/A 2823-2025 tillsynsbegäran mail.docx", "A 2823-2025")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46229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46229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A 42724-2023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46229</v>
      </c>
      <c r="F23" t="inlineStr">
        <is>
          <t>SKÅNE LÄN</t>
        </is>
      </c>
      <c r="G23" t="inlineStr">
        <is>
          <t>HÖRBY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t="n">
        <v>0</v>
      </c>
      <c r="V23" s="2" t="inlineStr">
        <is>
          <t>Ask
Grönvit nattviol</t>
        </is>
      </c>
      <c r="W23">
        <f>HYPERLINK("https://klasma.github.io/Logging_1266/artfynd/A 42724-2023 artfynd.xlsx", "A 42724-2023")</f>
        <v/>
      </c>
      <c r="X23">
        <f>HYPERLINK("https://klasma.github.io/Logging_1266/kartor/A 42724-2023 karta.png", "A 42724-2023")</f>
        <v/>
      </c>
      <c r="Y23">
        <f>HYPERLINK("https://klasma.github.io/Logging_1266/kartor_geotiff/A 42724-2023 georefererad karta.tif", "A 42724-2023")</f>
        <v/>
      </c>
      <c r="AA23">
        <f>HYPERLINK("https://klasma.github.io/Logging_1266/klagomål/A 42724-2023 FSC-klagomål.docx", "A 42724-2023")</f>
        <v/>
      </c>
      <c r="AB23">
        <f>HYPERLINK("https://klasma.github.io/Logging_1266/klagomålsmail/A 42724-2023 FSC-klagomål mail.docx", "A 42724-2023")</f>
        <v/>
      </c>
      <c r="AC23">
        <f>HYPERLINK("https://klasma.github.io/Logging_1266/tillsyn/A 42724-2023 tillsynsbegäran.docx", "A 42724-2023")</f>
        <v/>
      </c>
      <c r="AD23">
        <f>HYPERLINK("https://klasma.github.io/Logging_1266/tillsynsmail/A 42724-2023 tillsynsbegäran mail.docx", "A 42724-2023")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46229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Grönsiska
Kungsfågel</t>
        </is>
      </c>
      <c r="W24">
        <f>HYPERLINK("https://klasma.github.io/Logging_1266/artfynd/S 230-2024 artfynd.xlsx", "S 230-2024")</f>
        <v/>
      </c>
      <c r="X24">
        <f>HYPERLINK("https://klasma.github.io/Logging_1266/kartor/S 230-2024 karta.png", "S 230-2024")</f>
        <v/>
      </c>
      <c r="Y24">
        <f>HYPERLINK("https://klasma.github.io/Logging_1266/kartor_geotiff/S 230-2024 georefererad karta.tif", "S 230-2024")</f>
        <v/>
      </c>
      <c r="AA24">
        <f>HYPERLINK("https://klasma.github.io/Logging_1266/klagomål/S 230-2024 FSC-klagomål.docx", "S 230-2024")</f>
        <v/>
      </c>
      <c r="AB24">
        <f>HYPERLINK("https://klasma.github.io/Logging_1266/klagomålsmail/S 230-2024 FSC-klagomål mail.docx", "S 230-2024")</f>
        <v/>
      </c>
      <c r="AC24">
        <f>HYPERLINK("https://klasma.github.io/Logging_1266/tillsyn/S 230-2024 tillsynsbegäran.docx", "S 230-2024")</f>
        <v/>
      </c>
      <c r="AD24">
        <f>HYPERLINK("https://klasma.github.io/Logging_1266/tillsynsmail/S 230-2024 tillsynsbegäran mail.docx", "S 230-2024")</f>
        <v/>
      </c>
    </row>
    <row r="25" ht="15" customHeight="1">
      <c r="A25" t="inlineStr">
        <is>
          <t>A 31115-2024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45502</v>
      </c>
      <c r="E25" s="1" t="n">
        <v>46229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HYPERLINK("https://klasma.github.io/Logging_1266/artfynd/A 31115-2024 artfynd.xlsx", "A 31115-2024")</f>
        <v/>
      </c>
      <c r="X25">
        <f>HYPERLINK("https://klasma.github.io/Logging_1266/kartor/A 31115-2024 karta.png", "A 31115-2024")</f>
        <v/>
      </c>
      <c r="Y25">
        <f>HYPERLINK("https://klasma.github.io/Logging_1266/kartor_geotiff/A 31115-2024 georefererad karta.tif", "A 31115-2024")</f>
        <v/>
      </c>
      <c r="AA25">
        <f>HYPERLINK("https://klasma.github.io/Logging_1266/klagomål/A 31115-2024 FSC-klagomål.docx", "A 31115-2024")</f>
        <v/>
      </c>
      <c r="AB25">
        <f>HYPERLINK("https://klasma.github.io/Logging_1266/klagomålsmail/A 31115-2024 FSC-klagomål mail.docx", "A 31115-2024")</f>
        <v/>
      </c>
      <c r="AC25">
        <f>HYPERLINK("https://klasma.github.io/Logging_1266/tillsyn/A 31115-2024 tillsynsbegäran.docx", "A 31115-2024")</f>
        <v/>
      </c>
      <c r="AD25">
        <f>HYPERLINK("https://klasma.github.io/Logging_1266/tillsynsmail/A 31115-2024 tillsynsbegäran mail.docx", "A 31115-2024")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46229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40376-2023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46229</v>
      </c>
      <c r="F27" t="inlineStr">
        <is>
          <t>SKÅNE LÄN</t>
        </is>
      </c>
      <c r="G27" t="inlineStr">
        <is>
          <t>HÖRBY</t>
        </is>
      </c>
      <c r="I27" t="n">
        <v>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Talltita</t>
        </is>
      </c>
      <c r="W27">
        <f>HYPERLINK("https://klasma.github.io/Logging_1266/artfynd/A 40376-2023 artfynd.xlsx", "A 40376-2023")</f>
        <v/>
      </c>
      <c r="X27">
        <f>HYPERLINK("https://klasma.github.io/Logging_1266/kartor/A 40376-2023 karta.png", "A 40376-2023")</f>
        <v/>
      </c>
      <c r="Y27">
        <f>HYPERLINK("https://klasma.github.io/Logging_1266/kartor_geotiff/A 40376-2023 georefererad karta.tif", "A 40376-2023")</f>
        <v/>
      </c>
      <c r="AA27">
        <f>HYPERLINK("https://klasma.github.io/Logging_1266/klagomål/A 40376-2023 FSC-klagomål.docx", "A 40376-2023")</f>
        <v/>
      </c>
      <c r="AB27">
        <f>HYPERLINK("https://klasma.github.io/Logging_1266/klagomålsmail/A 40376-2023 FSC-klagomål mail.docx", "A 40376-2023")</f>
        <v/>
      </c>
      <c r="AC27">
        <f>HYPERLINK("https://klasma.github.io/Logging_1266/tillsyn/A 40376-2023 tillsynsbegäran.docx", "A 40376-2023")</f>
        <v/>
      </c>
      <c r="AD27">
        <f>HYPERLINK("https://klasma.github.io/Logging_1266/tillsynsmail/A 40376-2023 tillsynsbegäran mail.docx", "A 40376-2023")</f>
        <v/>
      </c>
      <c r="AE27">
        <f>HYPERLINK("https://klasma.github.io/Logging_1266/fåglar/A 40376-2023 prioriterade fågelarter.docx", "A 40376-2023")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46229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25833-2024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46229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HYPERLINK("https://klasma.github.io/Logging_1266/artfynd/A 25833-2024 artfynd.xlsx", "A 25833-2024")</f>
        <v/>
      </c>
      <c r="X29">
        <f>HYPERLINK("https://klasma.github.io/Logging_1266/kartor/A 25833-2024 karta.png", "A 25833-2024")</f>
        <v/>
      </c>
      <c r="Y29">
        <f>HYPERLINK("https://klasma.github.io/Logging_1266/kartor_geotiff/A 25833-2024 georefererad karta.tif", "A 25833-2024")</f>
        <v/>
      </c>
      <c r="AA29">
        <f>HYPERLINK("https://klasma.github.io/Logging_1266/klagomål/A 25833-2024 FSC-klagomål.docx", "A 25833-2024")</f>
        <v/>
      </c>
      <c r="AB29">
        <f>HYPERLINK("https://klasma.github.io/Logging_1266/klagomålsmail/A 25833-2024 FSC-klagomål mail.docx", "A 25833-2024")</f>
        <v/>
      </c>
      <c r="AC29">
        <f>HYPERLINK("https://klasma.github.io/Logging_1266/tillsyn/A 25833-2024 tillsynsbegäran.docx", "A 25833-2024")</f>
        <v/>
      </c>
      <c r="AD29">
        <f>HYPERLINK("https://klasma.github.io/Logging_1266/tillsynsmail/A 25833-2024 tillsynsbegäran mail.docx", "A 25833-2024")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46229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46229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30165-2026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46229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30165-2026 artfynd.xlsx", "A 30165-2026")</f>
        <v/>
      </c>
      <c r="X32">
        <f>HYPERLINK("https://klasma.github.io/Logging_1266/kartor/A 30165-2026 karta.png", "A 30165-2026")</f>
        <v/>
      </c>
      <c r="Y32">
        <f>HYPERLINK("https://klasma.github.io/Logging_1266/kartor_geotiff/A 30165-2026 georefererad karta.tif", "A 30165-2026")</f>
        <v/>
      </c>
      <c r="AA32">
        <f>HYPERLINK("https://klasma.github.io/Logging_1266/klagomål/A 30165-2026 FSC-klagomål.docx", "A 30165-2026")</f>
        <v/>
      </c>
      <c r="AB32">
        <f>HYPERLINK("https://klasma.github.io/Logging_1266/klagomålsmail/A 30165-2026 FSC-klagomål mail.docx", "A 30165-2026")</f>
        <v/>
      </c>
      <c r="AC32">
        <f>HYPERLINK("https://klasma.github.io/Logging_1266/tillsyn/A 30165-2026 tillsynsbegäran.docx", "A 30165-2026")</f>
        <v/>
      </c>
      <c r="AD32">
        <f>HYPERLINK("https://klasma.github.io/Logging_1266/tillsynsmail/A 30165-2026 tillsynsbegäran mail.docx", "A 30165-2026")</f>
        <v/>
      </c>
    </row>
    <row r="33" ht="15" customHeight="1">
      <c r="A33" t="inlineStr">
        <is>
          <t>A 29129-2026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46229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10.5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Ekticka</t>
        </is>
      </c>
      <c r="W33">
        <f>HYPERLINK("https://klasma.github.io/Logging_1266/artfynd/A 29129-2026 artfynd.xlsx", "A 29129-2026")</f>
        <v/>
      </c>
      <c r="X33">
        <f>HYPERLINK("https://klasma.github.io/Logging_1266/kartor/A 29129-2026 karta.png", "A 29129-2026")</f>
        <v/>
      </c>
      <c r="Y33">
        <f>HYPERLINK("https://klasma.github.io/Logging_1266/kartor_geotiff/A 29129-2026 georefererad karta.tif", "A 29129-2026")</f>
        <v/>
      </c>
      <c r="AA33">
        <f>HYPERLINK("https://klasma.github.io/Logging_1266/klagomål/A 29129-2026 FSC-klagomål.docx", "A 29129-2026")</f>
        <v/>
      </c>
      <c r="AB33">
        <f>HYPERLINK("https://klasma.github.io/Logging_1266/klagomålsmail/A 29129-2026 FSC-klagomål mail.docx", "A 29129-2026")</f>
        <v/>
      </c>
      <c r="AC33">
        <f>HYPERLINK("https://klasma.github.io/Logging_1266/tillsyn/A 29129-2026 tillsynsbegäran.docx", "A 29129-2026")</f>
        <v/>
      </c>
      <c r="AD33">
        <f>HYPERLINK("https://klasma.github.io/Logging_1266/tillsynsmail/A 29129-2026 tillsynsbegäran mail.docx", "A 29129-2026")</f>
        <v/>
      </c>
    </row>
    <row r="34" ht="15" customHeight="1">
      <c r="A34" t="inlineStr">
        <is>
          <t>A 16519-2026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46112</v>
      </c>
      <c r="E34" s="1" t="n">
        <v>46229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16519-2026 artfynd.xlsx", "A 16519-2026")</f>
        <v/>
      </c>
      <c r="X34">
        <f>HYPERLINK("https://klasma.github.io/Logging_1266/kartor/A 16519-2026 karta.png", "A 16519-2026")</f>
        <v/>
      </c>
      <c r="Y34">
        <f>HYPERLINK("https://klasma.github.io/Logging_1266/kartor_geotiff/A 16519-2026 georefererad karta.tif", "A 16519-2026")</f>
        <v/>
      </c>
      <c r="AA34">
        <f>HYPERLINK("https://klasma.github.io/Logging_1266/klagomål/A 16519-2026 FSC-klagomål.docx", "A 16519-2026")</f>
        <v/>
      </c>
      <c r="AB34">
        <f>HYPERLINK("https://klasma.github.io/Logging_1266/klagomålsmail/A 16519-2026 FSC-klagomål mail.docx", "A 16519-2026")</f>
        <v/>
      </c>
      <c r="AC34">
        <f>HYPERLINK("https://klasma.github.io/Logging_1266/tillsyn/A 16519-2026 tillsynsbegäran.docx", "A 16519-2026")</f>
        <v/>
      </c>
      <c r="AD34">
        <f>HYPERLINK("https://klasma.github.io/Logging_1266/tillsynsmail/A 16519-2026 tillsynsbegäran mail.docx", "A 16519-2026")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46229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A 25479-2025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45802</v>
      </c>
      <c r="E36" s="1" t="n">
        <v>46229</v>
      </c>
      <c r="F36" t="inlineStr">
        <is>
          <t>SKÅNE LÄN</t>
        </is>
      </c>
      <c r="G36" t="inlineStr">
        <is>
          <t>HÖRBY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Lundvårlök</t>
        </is>
      </c>
      <c r="W36">
        <f>HYPERLINK("https://klasma.github.io/Logging_1266/artfynd/A 25479-2025 artfynd.xlsx", "A 25479-2025")</f>
        <v/>
      </c>
      <c r="X36">
        <f>HYPERLINK("https://klasma.github.io/Logging_1266/kartor/A 25479-2025 karta.png", "A 25479-2025")</f>
        <v/>
      </c>
      <c r="Y36">
        <f>HYPERLINK("https://klasma.github.io/Logging_1266/kartor_geotiff/A 25479-2025 georefererad karta.tif", "A 25479-2025")</f>
        <v/>
      </c>
      <c r="AA36">
        <f>HYPERLINK("https://klasma.github.io/Logging_1266/klagomål/A 25479-2025 FSC-klagomål.docx", "A 25479-2025")</f>
        <v/>
      </c>
      <c r="AB36">
        <f>HYPERLINK("https://klasma.github.io/Logging_1266/klagomålsmail/A 25479-2025 FSC-klagomål mail.docx", "A 25479-2025")</f>
        <v/>
      </c>
      <c r="AC36">
        <f>HYPERLINK("https://klasma.github.io/Logging_1266/tillsyn/A 25479-2025 tillsynsbegäran.docx", "A 25479-2025")</f>
        <v/>
      </c>
      <c r="AD36">
        <f>HYPERLINK("https://klasma.github.io/Logging_1266/tillsynsmail/A 25479-2025 tillsynsbegäran mail.docx", "A 25479-2025")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46229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46229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46229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46229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46229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46229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46229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46229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46229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46229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46229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46229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46229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24670-2024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45460</v>
      </c>
      <c r="E50" s="1" t="n">
        <v>46229</v>
      </c>
      <c r="F50" t="inlineStr">
        <is>
          <t>SKÅNE LÄN</t>
        </is>
      </c>
      <c r="G50" t="inlineStr">
        <is>
          <t>HÖRBY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46229</v>
      </c>
      <c r="F51" t="inlineStr">
        <is>
          <t>SKÅNE LÄN</t>
        </is>
      </c>
      <c r="G51" t="inlineStr">
        <is>
          <t>HÖRBY</t>
        </is>
      </c>
      <c r="H51" t="inlineStr">
        <is>
          <t>Kyrkan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18609-2025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46229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3471-2025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45680</v>
      </c>
      <c r="E53" s="1" t="n">
        <v>46229</v>
      </c>
      <c r="F53" t="inlineStr">
        <is>
          <t>SKÅNE LÄN</t>
        </is>
      </c>
      <c r="G53" t="inlineStr">
        <is>
          <t>HÖRBY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45128</v>
      </c>
      <c r="E54" s="1" t="n">
        <v>46229</v>
      </c>
      <c r="F54" t="inlineStr">
        <is>
          <t>SKÅNE LÄN</t>
        </is>
      </c>
      <c r="G54" t="inlineStr">
        <is>
          <t>HÖRBY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45541</v>
      </c>
      <c r="E55" s="1" t="n">
        <v>46229</v>
      </c>
      <c r="F55" t="inlineStr">
        <is>
          <t>SKÅNE LÄN</t>
        </is>
      </c>
      <c r="G55" t="inlineStr">
        <is>
          <t>HÖRBY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31596-2023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46229</v>
      </c>
      <c r="F56" t="inlineStr">
        <is>
          <t>SKÅNE LÄN</t>
        </is>
      </c>
      <c r="G56" t="inlineStr">
        <is>
          <t>HÖRBY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44613-2023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45189</v>
      </c>
      <c r="E57" s="1" t="n">
        <v>46229</v>
      </c>
      <c r="F57" t="inlineStr">
        <is>
          <t>SKÅNE LÄN</t>
        </is>
      </c>
      <c r="G57" t="inlineStr">
        <is>
          <t>HÖRBY</t>
        </is>
      </c>
      <c r="H57" t="inlineStr">
        <is>
          <t>Sveaskog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2816-2025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45677</v>
      </c>
      <c r="E58" s="1" t="n">
        <v>46229</v>
      </c>
      <c r="F58" t="inlineStr">
        <is>
          <t>SKÅNE LÄN</t>
        </is>
      </c>
      <c r="G58" t="inlineStr">
        <is>
          <t>HÖRBY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28785-2023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45104</v>
      </c>
      <c r="E59" s="1" t="n">
        <v>46229</v>
      </c>
      <c r="F59" t="inlineStr">
        <is>
          <t>SKÅNE LÄN</t>
        </is>
      </c>
      <c r="G59" t="inlineStr">
        <is>
          <t>HÖRBY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45750</v>
      </c>
      <c r="E60" s="1" t="n">
        <v>46229</v>
      </c>
      <c r="F60" t="inlineStr">
        <is>
          <t>SKÅNE LÄN</t>
        </is>
      </c>
      <c r="G60" t="inlineStr">
        <is>
          <t>HÖRBY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45250</v>
      </c>
      <c r="E61" s="1" t="n">
        <v>46229</v>
      </c>
      <c r="F61" t="inlineStr">
        <is>
          <t>SKÅNE LÄN</t>
        </is>
      </c>
      <c r="G61" t="inlineStr">
        <is>
          <t>HÖRBY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45688</v>
      </c>
      <c r="E62" s="1" t="n">
        <v>46229</v>
      </c>
      <c r="F62" t="inlineStr">
        <is>
          <t>SKÅNE LÄN</t>
        </is>
      </c>
      <c r="G62" t="inlineStr">
        <is>
          <t>HÖRBY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6886-2024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45342</v>
      </c>
      <c r="E63" s="1" t="n">
        <v>46229</v>
      </c>
      <c r="F63" t="inlineStr">
        <is>
          <t>SKÅNE LÄN</t>
        </is>
      </c>
      <c r="G63" t="inlineStr">
        <is>
          <t>HÖRBY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48397-2022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46229</v>
      </c>
      <c r="F64" t="inlineStr">
        <is>
          <t>SKÅNE LÄN</t>
        </is>
      </c>
      <c r="G64" t="inlineStr">
        <is>
          <t>HÖRBY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33358-2023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45128</v>
      </c>
      <c r="E65" s="1" t="n">
        <v>46229</v>
      </c>
      <c r="F65" t="inlineStr">
        <is>
          <t>SKÅNE LÄN</t>
        </is>
      </c>
      <c r="G65" t="inlineStr">
        <is>
          <t>HÖRBY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47641-2023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45203</v>
      </c>
      <c r="E66" s="1" t="n">
        <v>46229</v>
      </c>
      <c r="F66" t="inlineStr">
        <is>
          <t>SKÅNE LÄN</t>
        </is>
      </c>
      <c r="G66" t="inlineStr">
        <is>
          <t>HÖRBY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46229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45166</v>
      </c>
      <c r="E68" s="1" t="n">
        <v>46229</v>
      </c>
      <c r="F68" t="inlineStr">
        <is>
          <t>SKÅNE LÄN</t>
        </is>
      </c>
      <c r="G68" t="inlineStr">
        <is>
          <t>HÖRBY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39507-2024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45551</v>
      </c>
      <c r="E69" s="1" t="n">
        <v>46229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46229</v>
      </c>
      <c r="F70" t="inlineStr">
        <is>
          <t>SKÅNE LÄN</t>
        </is>
      </c>
      <c r="G70" t="inlineStr">
        <is>
          <t>HÖRBY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11943-2025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45728</v>
      </c>
      <c r="E71" s="1" t="n">
        <v>46229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9974-2024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45363</v>
      </c>
      <c r="E72" s="1" t="n">
        <v>46229</v>
      </c>
      <c r="F72" t="inlineStr">
        <is>
          <t>SKÅNE LÄN</t>
        </is>
      </c>
      <c r="G72" t="inlineStr">
        <is>
          <t>HÖRBY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45176</v>
      </c>
      <c r="E73" s="1" t="n">
        <v>46229</v>
      </c>
      <c r="F73" t="inlineStr">
        <is>
          <t>SKÅNE LÄN</t>
        </is>
      </c>
      <c r="G73" t="inlineStr">
        <is>
          <t>HÖRBY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45104</v>
      </c>
      <c r="E74" s="1" t="n">
        <v>46229</v>
      </c>
      <c r="F74" t="inlineStr">
        <is>
          <t>SKÅNE LÄN</t>
        </is>
      </c>
      <c r="G74" t="inlineStr">
        <is>
          <t>HÖRBY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43932-2023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45187</v>
      </c>
      <c r="E75" s="1" t="n">
        <v>46229</v>
      </c>
      <c r="F75" t="inlineStr">
        <is>
          <t>SKÅNE LÄN</t>
        </is>
      </c>
      <c r="G75" t="inlineStr">
        <is>
          <t>HÖRBY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43935-2023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45187</v>
      </c>
      <c r="E76" s="1" t="n">
        <v>46229</v>
      </c>
      <c r="F76" t="inlineStr">
        <is>
          <t>SKÅNE LÄN</t>
        </is>
      </c>
      <c r="G76" t="inlineStr">
        <is>
          <t>HÖRBY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44944</v>
      </c>
      <c r="E77" s="1" t="n">
        <v>46229</v>
      </c>
      <c r="F77" t="inlineStr">
        <is>
          <t>SKÅNE LÄN</t>
        </is>
      </c>
      <c r="G77" t="inlineStr">
        <is>
          <t>HÖRBY</t>
        </is>
      </c>
      <c r="H77" t="inlineStr">
        <is>
          <t>Sveaskog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46229</v>
      </c>
      <c r="F78" t="inlineStr">
        <is>
          <t>SKÅNE LÄN</t>
        </is>
      </c>
      <c r="G78" t="inlineStr">
        <is>
          <t>HÖRBY</t>
        </is>
      </c>
      <c r="H78" t="inlineStr">
        <is>
          <t>Sveaskog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8084-2022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44608</v>
      </c>
      <c r="E79" s="1" t="n">
        <v>46229</v>
      </c>
      <c r="F79" t="inlineStr">
        <is>
          <t>SKÅNE LÄN</t>
        </is>
      </c>
      <c r="G79" t="inlineStr">
        <is>
          <t>HÖRBY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45572</v>
      </c>
      <c r="E80" s="1" t="n">
        <v>46229</v>
      </c>
      <c r="F80" t="inlineStr">
        <is>
          <t>SKÅNE LÄN</t>
        </is>
      </c>
      <c r="G80" t="inlineStr">
        <is>
          <t>HÖRBY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46229</v>
      </c>
      <c r="F81" t="inlineStr">
        <is>
          <t>SKÅNE LÄN</t>
        </is>
      </c>
      <c r="G81" t="inlineStr">
        <is>
          <t>HÖRBY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13226-2024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46229</v>
      </c>
      <c r="F82" t="inlineStr">
        <is>
          <t>SKÅNE LÄN</t>
        </is>
      </c>
      <c r="G82" t="inlineStr">
        <is>
          <t>HÖRBY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47552-2023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45203</v>
      </c>
      <c r="E83" s="1" t="n">
        <v>46229</v>
      </c>
      <c r="F83" t="inlineStr">
        <is>
          <t>SKÅNE LÄN</t>
        </is>
      </c>
      <c r="G83" t="inlineStr">
        <is>
          <t>HÖRBY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45803</v>
      </c>
      <c r="E84" s="1" t="n">
        <v>46229</v>
      </c>
      <c r="F84" t="inlineStr">
        <is>
          <t>SKÅNE LÄN</t>
        </is>
      </c>
      <c r="G84" t="inlineStr">
        <is>
          <t>HÖRBY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44944</v>
      </c>
      <c r="E85" s="1" t="n">
        <v>46229</v>
      </c>
      <c r="F85" t="inlineStr">
        <is>
          <t>SKÅNE LÄN</t>
        </is>
      </c>
      <c r="G85" t="inlineStr">
        <is>
          <t>HÖRBY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38147-2025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45882</v>
      </c>
      <c r="E86" s="1" t="n">
        <v>46229</v>
      </c>
      <c r="F86" t="inlineStr">
        <is>
          <t>SKÅNE LÄN</t>
        </is>
      </c>
      <c r="G86" t="inlineStr">
        <is>
          <t>HÖRBY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37082-2023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45155</v>
      </c>
      <c r="E87" s="1" t="n">
        <v>46229</v>
      </c>
      <c r="F87" t="inlineStr">
        <is>
          <t>SKÅNE LÄN</t>
        </is>
      </c>
      <c r="G87" t="inlineStr">
        <is>
          <t>HÖRBY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54431-2023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45226</v>
      </c>
      <c r="E88" s="1" t="n">
        <v>46229</v>
      </c>
      <c r="F88" t="inlineStr">
        <is>
          <t>SKÅNE LÄN</t>
        </is>
      </c>
      <c r="G88" t="inlineStr">
        <is>
          <t>HÖRBY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28625-2023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46229</v>
      </c>
      <c r="F89" t="inlineStr">
        <is>
          <t>SKÅNE LÄN</t>
        </is>
      </c>
      <c r="G89" t="inlineStr">
        <is>
          <t>HÖRBY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45545</v>
      </c>
      <c r="E90" s="1" t="n">
        <v>46229</v>
      </c>
      <c r="F90" t="inlineStr">
        <is>
          <t>SKÅNE LÄN</t>
        </is>
      </c>
      <c r="G90" t="inlineStr">
        <is>
          <t>HÖRBY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13633-2024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45390</v>
      </c>
      <c r="E91" s="1" t="n">
        <v>46229</v>
      </c>
      <c r="F91" t="inlineStr">
        <is>
          <t>SKÅNE LÄN</t>
        </is>
      </c>
      <c r="G91" t="inlineStr">
        <is>
          <t>HÖRBY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45190</v>
      </c>
      <c r="E92" s="1" t="n">
        <v>46229</v>
      </c>
      <c r="F92" t="inlineStr">
        <is>
          <t>SKÅNE LÄN</t>
        </is>
      </c>
      <c r="G92" t="inlineStr">
        <is>
          <t>HÖRBY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28493-2023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46229</v>
      </c>
      <c r="F93" t="inlineStr">
        <is>
          <t>SKÅNE LÄN</t>
        </is>
      </c>
      <c r="G93" t="inlineStr">
        <is>
          <t>HÖRBY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45845</v>
      </c>
      <c r="E94" s="1" t="n">
        <v>46229</v>
      </c>
      <c r="F94" t="inlineStr">
        <is>
          <t>SKÅNE LÄN</t>
        </is>
      </c>
      <c r="G94" t="inlineStr">
        <is>
          <t>HÖRBY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65073-2023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45287</v>
      </c>
      <c r="E95" s="1" t="n">
        <v>46229</v>
      </c>
      <c r="F95" t="inlineStr">
        <is>
          <t>SKÅNE LÄN</t>
        </is>
      </c>
      <c r="G95" t="inlineStr">
        <is>
          <t>HÖRBY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43879-2023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46229</v>
      </c>
      <c r="F96" t="inlineStr">
        <is>
          <t>SKÅNE LÄN</t>
        </is>
      </c>
      <c r="G96" t="inlineStr">
        <is>
          <t>HÖRBY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47609-2023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45203</v>
      </c>
      <c r="E97" s="1" t="n">
        <v>46229</v>
      </c>
      <c r="F97" t="inlineStr">
        <is>
          <t>SKÅNE LÄN</t>
        </is>
      </c>
      <c r="G97" t="inlineStr">
        <is>
          <t>HÖRBY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5079-2026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46049</v>
      </c>
      <c r="E98" s="1" t="n">
        <v>46229</v>
      </c>
      <c r="F98" t="inlineStr">
        <is>
          <t>SKÅNE LÄN</t>
        </is>
      </c>
      <c r="G98" t="inlineStr">
        <is>
          <t>HÖRBY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43882-2023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45187</v>
      </c>
      <c r="E99" s="1" t="n">
        <v>46229</v>
      </c>
      <c r="F99" t="inlineStr">
        <is>
          <t>SKÅNE LÄN</t>
        </is>
      </c>
      <c r="G99" t="inlineStr">
        <is>
          <t>HÖRBY</t>
        </is>
      </c>
      <c r="H99" t="inlineStr">
        <is>
          <t>Sveaskog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45076</v>
      </c>
      <c r="E100" s="1" t="n">
        <v>46229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67426-2021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46229</v>
      </c>
      <c r="F101" t="inlineStr">
        <is>
          <t>SKÅNE LÄN</t>
        </is>
      </c>
      <c r="G101" t="inlineStr">
        <is>
          <t>HÖRBY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44946</v>
      </c>
      <c r="E102" s="1" t="n">
        <v>46229</v>
      </c>
      <c r="F102" t="inlineStr">
        <is>
          <t>SKÅNE LÄN</t>
        </is>
      </c>
      <c r="G102" t="inlineStr">
        <is>
          <t>HÖRBY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45261</v>
      </c>
      <c r="E103" s="1" t="n">
        <v>46229</v>
      </c>
      <c r="F103" t="inlineStr">
        <is>
          <t>SKÅNE LÄN</t>
        </is>
      </c>
      <c r="G103" t="inlineStr">
        <is>
          <t>HÖRBY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45845</v>
      </c>
      <c r="E104" s="1" t="n">
        <v>46229</v>
      </c>
      <c r="F104" t="inlineStr">
        <is>
          <t>SKÅNE LÄN</t>
        </is>
      </c>
      <c r="G104" t="inlineStr">
        <is>
          <t>HÖRBY</t>
        </is>
      </c>
      <c r="I104" t="n">
        <v>18.7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45943</v>
      </c>
      <c r="E105" s="1" t="n">
        <v>46229</v>
      </c>
      <c r="F105" t="inlineStr">
        <is>
          <t>SKÅNE LÄN</t>
        </is>
      </c>
      <c r="G105" t="inlineStr">
        <is>
          <t>HÖRBY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43685-2022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44837</v>
      </c>
      <c r="E106" s="1" t="n">
        <v>46229</v>
      </c>
      <c r="F106" t="inlineStr">
        <is>
          <t>SKÅNE LÄN</t>
        </is>
      </c>
      <c r="G106" t="inlineStr">
        <is>
          <t>HÖRBY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51757-2025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45951</v>
      </c>
      <c r="E107" s="1" t="n">
        <v>46229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55265-2023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45237</v>
      </c>
      <c r="E108" s="1" t="n">
        <v>46229</v>
      </c>
      <c r="F108" t="inlineStr">
        <is>
          <t>SKÅNE LÄN</t>
        </is>
      </c>
      <c r="G108" t="inlineStr">
        <is>
          <t>HÖRBY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52930-2025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46229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52929-2025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45957</v>
      </c>
      <c r="E110" s="1" t="n">
        <v>46229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5163-2024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45330</v>
      </c>
      <c r="E111" s="1" t="n">
        <v>46229</v>
      </c>
      <c r="F111" t="inlineStr">
        <is>
          <t>SKÅNE LÄN</t>
        </is>
      </c>
      <c r="G111" t="inlineStr">
        <is>
          <t>HÖRBY</t>
        </is>
      </c>
      <c r="H111" t="inlineStr">
        <is>
          <t>Kyrkan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46229</v>
      </c>
      <c r="F112" t="inlineStr">
        <is>
          <t>SKÅNE LÄN</t>
        </is>
      </c>
      <c r="G112" t="inlineStr">
        <is>
          <t>HÖRBY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54765-2025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45966</v>
      </c>
      <c r="E113" s="1" t="n">
        <v>46229</v>
      </c>
      <c r="F113" t="inlineStr">
        <is>
          <t>SKÅNE LÄN</t>
        </is>
      </c>
      <c r="G113" t="inlineStr">
        <is>
          <t>HÖRBY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55304-2025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45970</v>
      </c>
      <c r="E114" s="1" t="n">
        <v>46229</v>
      </c>
      <c r="F114" t="inlineStr">
        <is>
          <t>SKÅNE LÄN</t>
        </is>
      </c>
      <c r="G114" t="inlineStr">
        <is>
          <t>HÖRBY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55306-2025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45970</v>
      </c>
      <c r="E115" s="1" t="n">
        <v>46229</v>
      </c>
      <c r="F115" t="inlineStr">
        <is>
          <t>SKÅNE LÄN</t>
        </is>
      </c>
      <c r="G115" t="inlineStr">
        <is>
          <t>HÖRBY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40994-2025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45898</v>
      </c>
      <c r="E116" s="1" t="n">
        <v>46229</v>
      </c>
      <c r="F116" t="inlineStr">
        <is>
          <t>SKÅNE LÄN</t>
        </is>
      </c>
      <c r="G116" t="inlineStr">
        <is>
          <t>HÖRBY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45680</v>
      </c>
      <c r="E117" s="1" t="n">
        <v>46229</v>
      </c>
      <c r="F117" t="inlineStr">
        <is>
          <t>SKÅNE LÄN</t>
        </is>
      </c>
      <c r="G117" t="inlineStr">
        <is>
          <t>HÖRBY</t>
        </is>
      </c>
      <c r="H117" t="inlineStr">
        <is>
          <t>Kyrkan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20595-2024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45436</v>
      </c>
      <c r="E118" s="1" t="n">
        <v>46229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57269-2025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45979</v>
      </c>
      <c r="E119" s="1" t="n">
        <v>46229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43937-2023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46229</v>
      </c>
      <c r="F120" t="inlineStr">
        <is>
          <t>SKÅNE LÄN</t>
        </is>
      </c>
      <c r="G120" t="inlineStr">
        <is>
          <t>HÖRBY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46229</v>
      </c>
      <c r="F121" t="inlineStr">
        <is>
          <t>SKÅNE LÄN</t>
        </is>
      </c>
      <c r="G121" t="inlineStr">
        <is>
          <t>HÖRBY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28501-2023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45103</v>
      </c>
      <c r="E122" s="1" t="n">
        <v>46229</v>
      </c>
      <c r="F122" t="inlineStr">
        <is>
          <t>SKÅNE LÄN</t>
        </is>
      </c>
      <c r="G122" t="inlineStr">
        <is>
          <t>HÖRBY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46229</v>
      </c>
      <c r="F123" t="inlineStr">
        <is>
          <t>SKÅNE LÄN</t>
        </is>
      </c>
      <c r="G123" t="inlineStr">
        <is>
          <t>HÖRBY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46229</v>
      </c>
      <c r="F124" t="inlineStr">
        <is>
          <t>SKÅNE LÄN</t>
        </is>
      </c>
      <c r="G124" t="inlineStr">
        <is>
          <t>HÖRBY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45989</v>
      </c>
      <c r="E125" s="1" t="n">
        <v>46229</v>
      </c>
      <c r="F125" t="inlineStr">
        <is>
          <t>SKÅNE LÄN</t>
        </is>
      </c>
      <c r="G125" t="inlineStr">
        <is>
          <t>HÖRBY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45988</v>
      </c>
      <c r="E126" s="1" t="n">
        <v>46229</v>
      </c>
      <c r="F126" t="inlineStr">
        <is>
          <t>SKÅNE LÄN</t>
        </is>
      </c>
      <c r="G126" t="inlineStr">
        <is>
          <t>HÖRBY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37276-2024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45540</v>
      </c>
      <c r="E127" s="1" t="n">
        <v>46229</v>
      </c>
      <c r="F127" t="inlineStr">
        <is>
          <t>SKÅNE LÄN</t>
        </is>
      </c>
      <c r="G127" t="inlineStr">
        <is>
          <t>HÖRBY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36689-2024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45537</v>
      </c>
      <c r="E128" s="1" t="n">
        <v>46229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9.5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62277-2025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46229</v>
      </c>
      <c r="F129" t="inlineStr">
        <is>
          <t>SKÅNE LÄN</t>
        </is>
      </c>
      <c r="G129" t="inlineStr">
        <is>
          <t>HÖRBY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46229</v>
      </c>
      <c r="F130" t="inlineStr">
        <is>
          <t>SKÅNE LÄN</t>
        </is>
      </c>
      <c r="G130" t="inlineStr">
        <is>
          <t>HÖRBY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54184-2024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45616</v>
      </c>
      <c r="E131" s="1" t="n">
        <v>46229</v>
      </c>
      <c r="F131" t="inlineStr">
        <is>
          <t>SKÅNE LÄN</t>
        </is>
      </c>
      <c r="G131" t="inlineStr">
        <is>
          <t>HÖRBY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45261</v>
      </c>
      <c r="E132" s="1" t="n">
        <v>46229</v>
      </c>
      <c r="F132" t="inlineStr">
        <is>
          <t>SKÅNE LÄN</t>
        </is>
      </c>
      <c r="G132" t="inlineStr">
        <is>
          <t>HÖRBY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44073-2024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45572</v>
      </c>
      <c r="E133" s="1" t="n">
        <v>46229</v>
      </c>
      <c r="F133" t="inlineStr">
        <is>
          <t>SKÅNE LÄN</t>
        </is>
      </c>
      <c r="G133" t="inlineStr">
        <is>
          <t>HÖRBY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45728</v>
      </c>
      <c r="E134" s="1" t="n">
        <v>46229</v>
      </c>
      <c r="F134" t="inlineStr">
        <is>
          <t>SKÅNE LÄN</t>
        </is>
      </c>
      <c r="G134" t="inlineStr">
        <is>
          <t>HÖRBY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46229</v>
      </c>
      <c r="F135" t="inlineStr">
        <is>
          <t>SKÅNE LÄN</t>
        </is>
      </c>
      <c r="G135" t="inlineStr">
        <is>
          <t>HÖRBY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46229</v>
      </c>
      <c r="F136" t="inlineStr">
        <is>
          <t>SKÅNE LÄN</t>
        </is>
      </c>
      <c r="G136" t="inlineStr">
        <is>
          <t>HÖRBY</t>
        </is>
      </c>
      <c r="H136" t="inlineStr">
        <is>
          <t>Sveaskog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46229</v>
      </c>
      <c r="F137" t="inlineStr">
        <is>
          <t>SKÅNE LÄN</t>
        </is>
      </c>
      <c r="G137" t="inlineStr">
        <is>
          <t>HÖRBY</t>
        </is>
      </c>
      <c r="H137" t="inlineStr">
        <is>
          <t>Sveaskog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46229</v>
      </c>
      <c r="F138" t="inlineStr">
        <is>
          <t>SKÅNE LÄN</t>
        </is>
      </c>
      <c r="G138" t="inlineStr">
        <is>
          <t>HÖRBY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46030</v>
      </c>
      <c r="E139" s="1" t="n">
        <v>46229</v>
      </c>
      <c r="F139" t="inlineStr">
        <is>
          <t>SKÅNE LÄN</t>
        </is>
      </c>
      <c r="G139" t="inlineStr">
        <is>
          <t>HÖRBY</t>
        </is>
      </c>
      <c r="H139" t="inlineStr">
        <is>
          <t>Sveaskog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45435</v>
      </c>
      <c r="E140" s="1" t="n">
        <v>46229</v>
      </c>
      <c r="F140" t="inlineStr">
        <is>
          <t>SKÅNE LÄN</t>
        </is>
      </c>
      <c r="G140" t="inlineStr">
        <is>
          <t>HÖRBY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46035</v>
      </c>
      <c r="E141" s="1" t="n">
        <v>46229</v>
      </c>
      <c r="F141" t="inlineStr">
        <is>
          <t>SKÅNE LÄN</t>
        </is>
      </c>
      <c r="G141" t="inlineStr">
        <is>
          <t>HÖRBY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44935</v>
      </c>
      <c r="E142" s="1" t="n">
        <v>46229</v>
      </c>
      <c r="F142" t="inlineStr">
        <is>
          <t>SKÅNE LÄN</t>
        </is>
      </c>
      <c r="G142" t="inlineStr">
        <is>
          <t>HÖRBY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46229</v>
      </c>
      <c r="F143" t="inlineStr">
        <is>
          <t>SKÅNE LÄN</t>
        </is>
      </c>
      <c r="G143" t="inlineStr">
        <is>
          <t>HÖRBY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46229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29137-2026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46202</v>
      </c>
      <c r="E145" s="1" t="n">
        <v>46229</v>
      </c>
      <c r="F145" t="inlineStr">
        <is>
          <t>SKÅNE LÄN</t>
        </is>
      </c>
      <c r="G145" t="inlineStr">
        <is>
          <t>HÖRBY</t>
        </is>
      </c>
      <c r="H145" t="inlineStr">
        <is>
          <t>Sveaskog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29138-2026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46202</v>
      </c>
      <c r="E146" s="1" t="n">
        <v>46229</v>
      </c>
      <c r="F146" t="inlineStr">
        <is>
          <t>SKÅNE LÄN</t>
        </is>
      </c>
      <c r="G146" t="inlineStr">
        <is>
          <t>HÖRBY</t>
        </is>
      </c>
      <c r="H146" t="inlineStr">
        <is>
          <t>Sveaskog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46229</v>
      </c>
      <c r="F147" t="inlineStr">
        <is>
          <t>SKÅNE LÄN</t>
        </is>
      </c>
      <c r="G147" t="inlineStr">
        <is>
          <t>HÖRBY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3013-2026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46038</v>
      </c>
      <c r="E148" s="1" t="n">
        <v>46229</v>
      </c>
      <c r="F148" t="inlineStr">
        <is>
          <t>SKÅNE LÄN</t>
        </is>
      </c>
      <c r="G148" t="inlineStr">
        <is>
          <t>HÖRBY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46202</v>
      </c>
      <c r="E149" s="1" t="n">
        <v>46229</v>
      </c>
      <c r="F149" t="inlineStr">
        <is>
          <t>SKÅNE LÄN</t>
        </is>
      </c>
      <c r="G149" t="inlineStr">
        <is>
          <t>HÖRBY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29135-2026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46202</v>
      </c>
      <c r="E150" s="1" t="n">
        <v>46229</v>
      </c>
      <c r="F150" t="inlineStr">
        <is>
          <t>SKÅNE LÄN</t>
        </is>
      </c>
      <c r="G150" t="inlineStr">
        <is>
          <t>HÖRBY</t>
        </is>
      </c>
      <c r="H150" t="inlineStr">
        <is>
          <t>Sveaskog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5374-2026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46050</v>
      </c>
      <c r="E151" s="1" t="n">
        <v>46229</v>
      </c>
      <c r="F151" t="inlineStr">
        <is>
          <t>SKÅNE LÄN</t>
        </is>
      </c>
      <c r="G151" t="inlineStr">
        <is>
          <t>HÖRBY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46076</v>
      </c>
      <c r="E152" s="1" t="n">
        <v>46229</v>
      </c>
      <c r="F152" t="inlineStr">
        <is>
          <t>SKÅNE LÄN</t>
        </is>
      </c>
      <c r="G152" t="inlineStr">
        <is>
          <t>HÖRBY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46229</v>
      </c>
      <c r="F153" t="inlineStr">
        <is>
          <t>SKÅNE LÄN</t>
        </is>
      </c>
      <c r="G153" t="inlineStr">
        <is>
          <t>HÖRBY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45538</v>
      </c>
      <c r="E154" s="1" t="n">
        <v>46229</v>
      </c>
      <c r="F154" t="inlineStr">
        <is>
          <t>SKÅNE LÄN</t>
        </is>
      </c>
      <c r="G154" t="inlineStr">
        <is>
          <t>HÖRBY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24724-2024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45460</v>
      </c>
      <c r="E155" s="1" t="n">
        <v>46229</v>
      </c>
      <c r="F155" t="inlineStr">
        <is>
          <t>SKÅNE LÄN</t>
        </is>
      </c>
      <c r="G155" t="inlineStr">
        <is>
          <t>HÖRBY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58641-2023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45251</v>
      </c>
      <c r="E156" s="1" t="n">
        <v>46229</v>
      </c>
      <c r="F156" t="inlineStr">
        <is>
          <t>SKÅNE LÄN</t>
        </is>
      </c>
      <c r="G156" t="inlineStr">
        <is>
          <t>HÖRBY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45316</v>
      </c>
      <c r="E157" s="1" t="n">
        <v>46229</v>
      </c>
      <c r="F157" t="inlineStr">
        <is>
          <t>SKÅNE LÄN</t>
        </is>
      </c>
      <c r="G157" t="inlineStr">
        <is>
          <t>HÖRBY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8310-2026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46064</v>
      </c>
      <c r="E158" s="1" t="n">
        <v>46229</v>
      </c>
      <c r="F158" t="inlineStr">
        <is>
          <t>SKÅNE LÄN</t>
        </is>
      </c>
      <c r="G158" t="inlineStr">
        <is>
          <t>HÖRBY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8260-2026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46064</v>
      </c>
      <c r="E159" s="1" t="n">
        <v>46229</v>
      </c>
      <c r="F159" t="inlineStr">
        <is>
          <t>SKÅNE LÄN</t>
        </is>
      </c>
      <c r="G159" t="inlineStr">
        <is>
          <t>HÖRBY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8259-2026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46064</v>
      </c>
      <c r="E160" s="1" t="n">
        <v>46229</v>
      </c>
      <c r="F160" t="inlineStr">
        <is>
          <t>SKÅNE LÄN</t>
        </is>
      </c>
      <c r="G160" t="inlineStr">
        <is>
          <t>HÖRBY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45405</v>
      </c>
      <c r="E161" s="1" t="n">
        <v>46229</v>
      </c>
      <c r="F161" t="inlineStr">
        <is>
          <t>SKÅNE LÄN</t>
        </is>
      </c>
      <c r="G161" t="inlineStr">
        <is>
          <t>HÖRBY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18735-2023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46229</v>
      </c>
      <c r="F162" t="inlineStr">
        <is>
          <t>SKÅNE LÄN</t>
        </is>
      </c>
      <c r="G162" t="inlineStr">
        <is>
          <t>HÖRBY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10110-2026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46074</v>
      </c>
      <c r="E163" s="1" t="n">
        <v>46229</v>
      </c>
      <c r="F163" t="inlineStr">
        <is>
          <t>SKÅNE LÄN</t>
        </is>
      </c>
      <c r="G163" t="inlineStr">
        <is>
          <t>HÖRBY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10731-2026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46078</v>
      </c>
      <c r="E164" s="1" t="n">
        <v>46229</v>
      </c>
      <c r="F164" t="inlineStr">
        <is>
          <t>SKÅNE LÄN</t>
        </is>
      </c>
      <c r="G164" t="inlineStr">
        <is>
          <t>HÖRBY</t>
        </is>
      </c>
      <c r="H164" t="inlineStr">
        <is>
          <t>Kyrkan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44959</v>
      </c>
      <c r="E165" s="1" t="n">
        <v>46229</v>
      </c>
      <c r="F165" t="inlineStr">
        <is>
          <t>SKÅNE LÄN</t>
        </is>
      </c>
      <c r="G165" t="inlineStr">
        <is>
          <t>HÖRBY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46229</v>
      </c>
      <c r="F166" t="inlineStr">
        <is>
          <t>SKÅNE LÄN</t>
        </is>
      </c>
      <c r="G166" t="inlineStr">
        <is>
          <t>HÖRBY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56818-2022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44894</v>
      </c>
      <c r="E167" s="1" t="n">
        <v>46229</v>
      </c>
      <c r="F167" t="inlineStr">
        <is>
          <t>SKÅNE LÄN</t>
        </is>
      </c>
      <c r="G167" t="inlineStr">
        <is>
          <t>HÖRBY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30934-2026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46213</v>
      </c>
      <c r="E168" s="1" t="n">
        <v>46229</v>
      </c>
      <c r="F168" t="inlineStr">
        <is>
          <t>SKÅNE LÄN</t>
        </is>
      </c>
      <c r="G168" t="inlineStr">
        <is>
          <t>HÖRBY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34422-2024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45525</v>
      </c>
      <c r="E169" s="1" t="n">
        <v>46229</v>
      </c>
      <c r="F169" t="inlineStr">
        <is>
          <t>SKÅNE LÄN</t>
        </is>
      </c>
      <c r="G169" t="inlineStr">
        <is>
          <t>HÖRBY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46229</v>
      </c>
      <c r="F170" t="inlineStr">
        <is>
          <t>SKÅNE LÄN</t>
        </is>
      </c>
      <c r="G170" t="inlineStr">
        <is>
          <t>HÖRBY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46099</v>
      </c>
      <c r="E171" s="1" t="n">
        <v>46229</v>
      </c>
      <c r="F171" t="inlineStr">
        <is>
          <t>SKÅNE LÄN</t>
        </is>
      </c>
      <c r="G171" t="inlineStr">
        <is>
          <t>HÖRBY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6350-2026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46051</v>
      </c>
      <c r="E172" s="1" t="n">
        <v>46229</v>
      </c>
      <c r="F172" t="inlineStr">
        <is>
          <t>SKÅNE LÄN</t>
        </is>
      </c>
      <c r="G172" t="inlineStr">
        <is>
          <t>HÖRBY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18369-2025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45762</v>
      </c>
      <c r="E173" s="1" t="n">
        <v>46229</v>
      </c>
      <c r="F173" t="inlineStr">
        <is>
          <t>SKÅNE LÄN</t>
        </is>
      </c>
      <c r="G173" t="inlineStr">
        <is>
          <t>HÖRBY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46042</v>
      </c>
      <c r="E174" s="1" t="n">
        <v>46229</v>
      </c>
      <c r="F174" t="inlineStr">
        <is>
          <t>SKÅNE LÄN</t>
        </is>
      </c>
      <c r="G174" t="inlineStr">
        <is>
          <t>HÖRBY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46042</v>
      </c>
      <c r="E175" s="1" t="n">
        <v>46229</v>
      </c>
      <c r="F175" t="inlineStr">
        <is>
          <t>SKÅNE LÄN</t>
        </is>
      </c>
      <c r="G175" t="inlineStr">
        <is>
          <t>HÖRBY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46042</v>
      </c>
      <c r="E176" s="1" t="n">
        <v>46229</v>
      </c>
      <c r="F176" t="inlineStr">
        <is>
          <t>SKÅNE LÄN</t>
        </is>
      </c>
      <c r="G176" t="inlineStr">
        <is>
          <t>HÖRBY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46218</v>
      </c>
      <c r="E177" s="1" t="n">
        <v>46229</v>
      </c>
      <c r="F177" t="inlineStr">
        <is>
          <t>SKÅNE LÄN</t>
        </is>
      </c>
      <c r="G177" t="inlineStr">
        <is>
          <t>HÖRBY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46072</v>
      </c>
      <c r="E178" s="1" t="n">
        <v>46229</v>
      </c>
      <c r="F178" t="inlineStr">
        <is>
          <t>SKÅNE LÄN</t>
        </is>
      </c>
      <c r="G178" t="inlineStr">
        <is>
          <t>HÖRBY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46229</v>
      </c>
      <c r="F179" t="inlineStr">
        <is>
          <t>SKÅNE LÄN</t>
        </is>
      </c>
      <c r="G179" t="inlineStr">
        <is>
          <t>HÖRBY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45238</v>
      </c>
      <c r="E180" s="1" t="n">
        <v>46229</v>
      </c>
      <c r="F180" t="inlineStr">
        <is>
          <t>SKÅNE LÄN</t>
        </is>
      </c>
      <c r="G180" t="inlineStr">
        <is>
          <t>HÖRBY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3177-2026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46041</v>
      </c>
      <c r="E181" s="1" t="n">
        <v>46229</v>
      </c>
      <c r="F181" t="inlineStr">
        <is>
          <t>SKÅNE LÄN</t>
        </is>
      </c>
      <c r="G181" t="inlineStr">
        <is>
          <t>HÖRBY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23606-2026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46162</v>
      </c>
      <c r="E182" s="1" t="n">
        <v>46229</v>
      </c>
      <c r="F182" t="inlineStr">
        <is>
          <t>SKÅNE LÄN</t>
        </is>
      </c>
      <c r="G182" t="inlineStr">
        <is>
          <t>HÖRBY</t>
        </is>
      </c>
      <c r="I182" t="n">
        <v>9.4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45034</v>
      </c>
      <c r="E183" s="1" t="n">
        <v>46229</v>
      </c>
      <c r="F183" t="inlineStr">
        <is>
          <t>SKÅNE LÄN</t>
        </is>
      </c>
      <c r="G183" t="inlineStr">
        <is>
          <t>HÖRBY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7402-2026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46059</v>
      </c>
      <c r="E184" s="1" t="n">
        <v>46229</v>
      </c>
      <c r="F184" t="inlineStr">
        <is>
          <t>SKÅNE LÄN</t>
        </is>
      </c>
      <c r="G184" t="inlineStr">
        <is>
          <t>HÖRBY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19420-2022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44693</v>
      </c>
      <c r="E185" s="1" t="n">
        <v>46229</v>
      </c>
      <c r="F185" t="inlineStr">
        <is>
          <t>SKÅNE LÄN</t>
        </is>
      </c>
      <c r="G185" t="inlineStr">
        <is>
          <t>HÖRBY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46112</v>
      </c>
      <c r="E186" s="1" t="n">
        <v>46229</v>
      </c>
      <c r="F186" t="inlineStr">
        <is>
          <t>SKÅNE LÄN</t>
        </is>
      </c>
      <c r="G186" t="inlineStr">
        <is>
          <t>HÖRBY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46076</v>
      </c>
      <c r="E187" s="1" t="n">
        <v>46229</v>
      </c>
      <c r="F187" t="inlineStr">
        <is>
          <t>SKÅNE LÄN</t>
        </is>
      </c>
      <c r="G187" t="inlineStr">
        <is>
          <t>HÖRBY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55307-2025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45970</v>
      </c>
      <c r="E188" s="1" t="n">
        <v>46229</v>
      </c>
      <c r="F188" t="inlineStr">
        <is>
          <t>SKÅNE LÄN</t>
        </is>
      </c>
      <c r="G188" t="inlineStr">
        <is>
          <t>HÖRBY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20047-2026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46136</v>
      </c>
      <c r="E189" s="1" t="n">
        <v>46229</v>
      </c>
      <c r="F189" t="inlineStr">
        <is>
          <t>SKÅNE LÄN</t>
        </is>
      </c>
      <c r="G189" t="inlineStr">
        <is>
          <t>HÖRBY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44928</v>
      </c>
      <c r="E190" s="1" t="n">
        <v>46229</v>
      </c>
      <c r="F190" t="inlineStr">
        <is>
          <t>SKÅNE LÄN</t>
        </is>
      </c>
      <c r="G190" t="inlineStr">
        <is>
          <t>HÖRBY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50715-2024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45602</v>
      </c>
      <c r="E191" s="1" t="n">
        <v>46229</v>
      </c>
      <c r="F191" t="inlineStr">
        <is>
          <t>SKÅNE LÄN</t>
        </is>
      </c>
      <c r="G191" t="inlineStr">
        <is>
          <t>HÖRBY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37724-2022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44810</v>
      </c>
      <c r="E192" s="1" t="n">
        <v>46229</v>
      </c>
      <c r="F192" t="inlineStr">
        <is>
          <t>SKÅNE LÄN</t>
        </is>
      </c>
      <c r="G192" t="inlineStr">
        <is>
          <t>HÖRBY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37728-2022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44810</v>
      </c>
      <c r="E193" s="1" t="n">
        <v>46229</v>
      </c>
      <c r="F193" t="inlineStr">
        <is>
          <t>SKÅNE LÄN</t>
        </is>
      </c>
      <c r="G193" t="inlineStr">
        <is>
          <t>HÖRBY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45203</v>
      </c>
      <c r="E194" s="1" t="n">
        <v>46229</v>
      </c>
      <c r="F194" t="inlineStr">
        <is>
          <t>SKÅNE LÄN</t>
        </is>
      </c>
      <c r="G194" t="inlineStr">
        <is>
          <t>HÖRBY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33873-2024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45521</v>
      </c>
      <c r="E195" s="1" t="n">
        <v>46229</v>
      </c>
      <c r="F195" t="inlineStr">
        <is>
          <t>SKÅNE LÄN</t>
        </is>
      </c>
      <c r="G195" t="inlineStr">
        <is>
          <t>HÖRBY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45680</v>
      </c>
      <c r="E196" s="1" t="n">
        <v>46229</v>
      </c>
      <c r="F196" t="inlineStr">
        <is>
          <t>SKÅNE LÄN</t>
        </is>
      </c>
      <c r="G196" t="inlineStr">
        <is>
          <t>HÖRBY</t>
        </is>
      </c>
      <c r="H196" t="inlineStr">
        <is>
          <t>Kyrkan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45386</v>
      </c>
      <c r="E197" s="1" t="n">
        <v>46229</v>
      </c>
      <c r="F197" t="inlineStr">
        <is>
          <t>SKÅNE LÄN</t>
        </is>
      </c>
      <c r="G197" t="inlineStr">
        <is>
          <t>HÖRBY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45405</v>
      </c>
      <c r="E198" s="1" t="n">
        <v>46229</v>
      </c>
      <c r="F198" t="inlineStr">
        <is>
          <t>SKÅNE LÄN</t>
        </is>
      </c>
      <c r="G198" t="inlineStr">
        <is>
          <t>HÖRBY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45405</v>
      </c>
      <c r="E199" s="1" t="n">
        <v>46229</v>
      </c>
      <c r="F199" t="inlineStr">
        <is>
          <t>SKÅNE LÄN</t>
        </is>
      </c>
      <c r="G199" t="inlineStr">
        <is>
          <t>HÖRBY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45502</v>
      </c>
      <c r="E200" s="1" t="n">
        <v>46229</v>
      </c>
      <c r="F200" t="inlineStr">
        <is>
          <t>SKÅNE LÄN</t>
        </is>
      </c>
      <c r="G200" t="inlineStr">
        <is>
          <t>HÖRBY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45391</v>
      </c>
      <c r="E201" s="1" t="n">
        <v>46229</v>
      </c>
      <c r="F201" t="inlineStr">
        <is>
          <t>SKÅNE LÄN</t>
        </is>
      </c>
      <c r="G201" t="inlineStr">
        <is>
          <t>HÖRBY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19777-2023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45051</v>
      </c>
      <c r="E202" s="1" t="n">
        <v>46229</v>
      </c>
      <c r="F202" t="inlineStr">
        <is>
          <t>SKÅNE LÄN</t>
        </is>
      </c>
      <c r="G202" t="inlineStr">
        <is>
          <t>HÖRBY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28746-2024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45478</v>
      </c>
      <c r="E203" s="1" t="n">
        <v>46229</v>
      </c>
      <c r="F203" t="inlineStr">
        <is>
          <t>SKÅNE LÄN</t>
        </is>
      </c>
      <c r="G203" t="inlineStr">
        <is>
          <t>HÖRBY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6558-2025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45699</v>
      </c>
      <c r="E204" s="1" t="n">
        <v>46229</v>
      </c>
      <c r="F204" t="inlineStr">
        <is>
          <t>SKÅNE LÄN</t>
        </is>
      </c>
      <c r="G204" t="inlineStr">
        <is>
          <t>HÖRBY</t>
        </is>
      </c>
      <c r="H204" t="inlineStr">
        <is>
          <t>Kommuner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45079</v>
      </c>
      <c r="E205" s="1" t="n">
        <v>46229</v>
      </c>
      <c r="F205" t="inlineStr">
        <is>
          <t>SKÅNE LÄN</t>
        </is>
      </c>
      <c r="G205" t="inlineStr">
        <is>
          <t>HÖRBY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44833</v>
      </c>
      <c r="E206" s="1" t="n">
        <v>46229</v>
      </c>
      <c r="F206" t="inlineStr">
        <is>
          <t>SKÅNE LÄN</t>
        </is>
      </c>
      <c r="G206" t="inlineStr">
        <is>
          <t>HÖRBY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38684-2022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44814</v>
      </c>
      <c r="E207" s="1" t="n">
        <v>46229</v>
      </c>
      <c r="F207" t="inlineStr">
        <is>
          <t>SKÅNE LÄN</t>
        </is>
      </c>
      <c r="G207" t="inlineStr">
        <is>
          <t>HÖRBY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52310-2023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45224</v>
      </c>
      <c r="E208" s="1" t="n">
        <v>46229</v>
      </c>
      <c r="F208" t="inlineStr">
        <is>
          <t>SKÅNE LÄN</t>
        </is>
      </c>
      <c r="G208" t="inlineStr">
        <is>
          <t>HÖRBY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45673</v>
      </c>
      <c r="E209" s="1" t="n">
        <v>46229</v>
      </c>
      <c r="F209" t="inlineStr">
        <is>
          <t>SKÅNE LÄN</t>
        </is>
      </c>
      <c r="G209" t="inlineStr">
        <is>
          <t>HÖRBY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46229</v>
      </c>
      <c r="F210" t="inlineStr">
        <is>
          <t>SKÅNE LÄN</t>
        </is>
      </c>
      <c r="G210" t="inlineStr">
        <is>
          <t>HÖRBY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43711-2024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45569</v>
      </c>
      <c r="E211" s="1" t="n">
        <v>46229</v>
      </c>
      <c r="F211" t="inlineStr">
        <is>
          <t>SKÅNE LÄN</t>
        </is>
      </c>
      <c r="G211" t="inlineStr">
        <is>
          <t>HÖRBY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45792</v>
      </c>
      <c r="E212" s="1" t="n">
        <v>46229</v>
      </c>
      <c r="F212" t="inlineStr">
        <is>
          <t>SKÅNE LÄN</t>
        </is>
      </c>
      <c r="G212" t="inlineStr">
        <is>
          <t>HÖRBY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28550-2025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45818</v>
      </c>
      <c r="E213" s="1" t="n">
        <v>46229</v>
      </c>
      <c r="F213" t="inlineStr">
        <is>
          <t>SKÅNE LÄN</t>
        </is>
      </c>
      <c r="G213" t="inlineStr">
        <is>
          <t>HÖRBY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9612-2025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45715</v>
      </c>
      <c r="E214" s="1" t="n">
        <v>46229</v>
      </c>
      <c r="F214" t="inlineStr">
        <is>
          <t>SKÅNE LÄN</t>
        </is>
      </c>
      <c r="G214" t="inlineStr">
        <is>
          <t>HÖRBY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29244-2025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45824</v>
      </c>
      <c r="E215" s="1" t="n">
        <v>46229</v>
      </c>
      <c r="F215" t="inlineStr">
        <is>
          <t>SKÅNE LÄN</t>
        </is>
      </c>
      <c r="G215" t="inlineStr">
        <is>
          <t>HÖRBY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29354-2025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45824</v>
      </c>
      <c r="E216" s="1" t="n">
        <v>46229</v>
      </c>
      <c r="F216" t="inlineStr">
        <is>
          <t>SKÅNE LÄN</t>
        </is>
      </c>
      <c r="G216" t="inlineStr">
        <is>
          <t>HÖRBY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32958-2025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45839</v>
      </c>
      <c r="E217" s="1" t="n">
        <v>46229</v>
      </c>
      <c r="F217" t="inlineStr">
        <is>
          <t>SKÅNE LÄN</t>
        </is>
      </c>
      <c r="G217" t="inlineStr">
        <is>
          <t>HÖRBY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32459-2025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46229</v>
      </c>
      <c r="F218" t="inlineStr">
        <is>
          <t>SKÅNE LÄN</t>
        </is>
      </c>
      <c r="G218" t="inlineStr">
        <is>
          <t>HÖRBY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45315</v>
      </c>
      <c r="E219" s="1" t="n">
        <v>46229</v>
      </c>
      <c r="F219" t="inlineStr">
        <is>
          <t>SKÅNE LÄN</t>
        </is>
      </c>
      <c r="G219" t="inlineStr">
        <is>
          <t>HÖRBY</t>
        </is>
      </c>
      <c r="H219" t="inlineStr">
        <is>
          <t>Kyrkan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37756-2024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46229</v>
      </c>
      <c r="F220" t="inlineStr">
        <is>
          <t>SKÅNE LÄN</t>
        </is>
      </c>
      <c r="G220" t="inlineStr">
        <is>
          <t>HÖRBY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45868</v>
      </c>
      <c r="E221" s="1" t="n">
        <v>46229</v>
      </c>
      <c r="F221" t="inlineStr">
        <is>
          <t>SKÅNE LÄN</t>
        </is>
      </c>
      <c r="G221" t="inlineStr">
        <is>
          <t>HÖRBY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45868</v>
      </c>
      <c r="E222" s="1" t="n">
        <v>46229</v>
      </c>
      <c r="F222" t="inlineStr">
        <is>
          <t>SKÅNE LÄN</t>
        </is>
      </c>
      <c r="G222" t="inlineStr">
        <is>
          <t>HÖRBY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3888-2023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45230</v>
      </c>
      <c r="E223" s="1" t="n">
        <v>46229</v>
      </c>
      <c r="F223" t="inlineStr">
        <is>
          <t>SKÅNE LÄN</t>
        </is>
      </c>
      <c r="G223" t="inlineStr">
        <is>
          <t>HÖRBY</t>
        </is>
      </c>
      <c r="I223" t="n">
        <v>13.9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4691-2022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44796</v>
      </c>
      <c r="E224" s="1" t="n">
        <v>46229</v>
      </c>
      <c r="F224" t="inlineStr">
        <is>
          <t>SKÅNE LÄN</t>
        </is>
      </c>
      <c r="G224" t="inlineStr">
        <is>
          <t>HÖRBY</t>
        </is>
      </c>
      <c r="I224" t="n">
        <v>39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734-2025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45722</v>
      </c>
      <c r="E225" s="1" t="n">
        <v>46229</v>
      </c>
      <c r="F225" t="inlineStr">
        <is>
          <t>SKÅNE LÄN</t>
        </is>
      </c>
      <c r="G225" t="inlineStr">
        <is>
          <t>HÖRBY</t>
        </is>
      </c>
      <c r="I225" t="n">
        <v>27.4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144-2026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46042</v>
      </c>
      <c r="E226" s="1" t="n">
        <v>46229</v>
      </c>
      <c r="F226" t="inlineStr">
        <is>
          <t>SKÅNE LÄN</t>
        </is>
      </c>
      <c r="G226" t="inlineStr">
        <is>
          <t>HÖRBY</t>
        </is>
      </c>
      <c r="I226" t="n">
        <v>18.3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1874-2026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46229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1875-2026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46202</v>
      </c>
      <c r="E228" s="1" t="n">
        <v>46229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1873-2026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46202</v>
      </c>
      <c r="E229" s="1" t="n">
        <v>46229</v>
      </c>
      <c r="F229" t="inlineStr">
        <is>
          <t>SKÅNE LÄN</t>
        </is>
      </c>
      <c r="G229" t="inlineStr">
        <is>
          <t>HÖRBY</t>
        </is>
      </c>
      <c r="H229" t="inlineStr">
        <is>
          <t>Sveaskog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46229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2026-07-26T01:49:16Z</dcterms:created>
  <dcterms:modified xmlns:dcterms="http://purl.org/dc/terms/" xmlns:xsi="http://www.w3.org/2001/XMLSchema-instance" xsi:type="dcterms:W3CDTF">2026-07-26T01:49:16Z</dcterms:modified>
</cp:coreProperties>
</file>