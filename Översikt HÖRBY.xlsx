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46231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46231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46231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46231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46231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46231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46231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46231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46231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46231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39855-2022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44819</v>
      </c>
      <c r="E12" s="1" t="n">
        <v>46231</v>
      </c>
      <c r="F12" t="inlineStr">
        <is>
          <t>SKÅNE LÄN</t>
        </is>
      </c>
      <c r="G12" t="inlineStr">
        <is>
          <t>HÖRBY</t>
        </is>
      </c>
      <c r="I12" t="n">
        <v>4.2</v>
      </c>
      <c r="J12" t="n">
        <v>4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1</v>
      </c>
      <c r="V12" s="2" t="inlineStr">
        <is>
          <t>Ask
Skogsknipprot
Blåsippa
Fläcknycklar
Grönvit nattviol</t>
        </is>
      </c>
      <c r="W12">
        <f>HYPERLINK("https://klasma.github.io/Logging_1266/artfynd/A 39855-2022 artfynd.xlsx", "A 39855-2022")</f>
        <v/>
      </c>
      <c r="X12">
        <f>HYPERLINK("https://klasma.github.io/Logging_1266/kartor/A 39855-2022 karta.png", "A 39855-2022")</f>
        <v/>
      </c>
      <c r="Y12">
        <f>HYPERLINK("https://klasma.github.io/Logging_1266/kartor_geotiff/A 39855-2022 georefererad karta.tif", "A 39855-2022")</f>
        <v/>
      </c>
      <c r="AA12">
        <f>HYPERLINK("https://klasma.github.io/Logging_1266/klagomål/A 39855-2022 FSC-klagomål.docx", "A 39855-2022")</f>
        <v/>
      </c>
      <c r="AB12">
        <f>HYPERLINK("https://klasma.github.io/Logging_1266/klagomålsmail/A 39855-2022 FSC-klagomål mail.docx", "A 39855-2022")</f>
        <v/>
      </c>
      <c r="AC12">
        <f>HYPERLINK("https://klasma.github.io/Logging_1266/tillsyn/A 39855-2022 tillsynsbegäran.docx", "A 39855-2022")</f>
        <v/>
      </c>
      <c r="AD12">
        <f>HYPERLINK("https://klasma.github.io/Logging_1266/tillsynsmail/A 39855-2022 tillsynsbegäran mail.docx", "A 39855-2022")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46231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46231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46231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46231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46231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46231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46231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46231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46231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46231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46231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46231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46231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46231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46231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46231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46231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46231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46231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46231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46231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46231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16519-2026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46231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16519-2026 artfynd.xlsx", "A 16519-2026")</f>
        <v/>
      </c>
      <c r="X35">
        <f>HYPERLINK("https://klasma.github.io/Logging_1266/kartor/A 16519-2026 karta.png", "A 16519-2026")</f>
        <v/>
      </c>
      <c r="Y35">
        <f>HYPERLINK("https://klasma.github.io/Logging_1266/kartor_geotiff/A 16519-2026 georefererad karta.tif", "A 16519-2026")</f>
        <v/>
      </c>
      <c r="AA35">
        <f>HYPERLINK("https://klasma.github.io/Logging_1266/klagomål/A 16519-2026 FSC-klagomål.docx", "A 16519-2026")</f>
        <v/>
      </c>
      <c r="AB35">
        <f>HYPERLINK("https://klasma.github.io/Logging_1266/klagomålsmail/A 16519-2026 FSC-klagomål mail.docx", "A 16519-2026")</f>
        <v/>
      </c>
      <c r="AC35">
        <f>HYPERLINK("https://klasma.github.io/Logging_1266/tillsyn/A 16519-2026 tillsynsbegäran.docx", "A 16519-2026")</f>
        <v/>
      </c>
      <c r="AD35">
        <f>HYPERLINK("https://klasma.github.io/Logging_1266/tillsynsmail/A 16519-2026 tillsynsbegäran mail.docx", "A 16519-2026")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46231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46231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46231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46231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46231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46231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46231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46231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46231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46231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46231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46231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46231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46231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46231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46231</v>
      </c>
      <c r="F51" t="inlineStr">
        <is>
          <t>SKÅNE LÄN</t>
        </is>
      </c>
      <c r="G51" t="inlineStr">
        <is>
          <t>HÖRBY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46231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46231</v>
      </c>
      <c r="F53" t="inlineStr">
        <is>
          <t>SKÅNE LÄN</t>
        </is>
      </c>
      <c r="G53" t="inlineStr">
        <is>
          <t>HÖRBY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46231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46231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46231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56818-2022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44894</v>
      </c>
      <c r="E57" s="1" t="n">
        <v>46231</v>
      </c>
      <c r="F57" t="inlineStr">
        <is>
          <t>SKÅNE LÄN</t>
        </is>
      </c>
      <c r="G57" t="inlineStr">
        <is>
          <t>HÖRBY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45128</v>
      </c>
      <c r="E58" s="1" t="n">
        <v>46231</v>
      </c>
      <c r="F58" t="inlineStr">
        <is>
          <t>SKÅNE LÄN</t>
        </is>
      </c>
      <c r="G58" t="inlineStr">
        <is>
          <t>HÖRBY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45236</v>
      </c>
      <c r="E59" s="1" t="n">
        <v>46231</v>
      </c>
      <c r="F59" t="inlineStr">
        <is>
          <t>SKÅNE LÄN</t>
        </is>
      </c>
      <c r="G59" t="inlineStr">
        <is>
          <t>HÖRBY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36689-2024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45537</v>
      </c>
      <c r="E60" s="1" t="n">
        <v>46231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9.5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46231</v>
      </c>
      <c r="F61" t="inlineStr">
        <is>
          <t>SKÅNE LÄN</t>
        </is>
      </c>
      <c r="G61" t="inlineStr">
        <is>
          <t>HÖRBY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46231</v>
      </c>
      <c r="F62" t="inlineStr">
        <is>
          <t>SKÅNE LÄN</t>
        </is>
      </c>
      <c r="G62" t="inlineStr">
        <is>
          <t>HÖRBY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37082-2023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45155</v>
      </c>
      <c r="E63" s="1" t="n">
        <v>46231</v>
      </c>
      <c r="F63" t="inlineStr">
        <is>
          <t>SKÅNE LÄN</t>
        </is>
      </c>
      <c r="G63" t="inlineStr">
        <is>
          <t>HÖRBY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43711-2024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45569</v>
      </c>
      <c r="E64" s="1" t="n">
        <v>46231</v>
      </c>
      <c r="F64" t="inlineStr">
        <is>
          <t>SKÅNE LÄN</t>
        </is>
      </c>
      <c r="G64" t="inlineStr">
        <is>
          <t>HÖRBY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46231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46231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46030</v>
      </c>
      <c r="E67" s="1" t="n">
        <v>46231</v>
      </c>
      <c r="F67" t="inlineStr">
        <is>
          <t>SKÅNE LÄN</t>
        </is>
      </c>
      <c r="G67" t="inlineStr">
        <is>
          <t>HÖRBY</t>
        </is>
      </c>
      <c r="H67" t="inlineStr">
        <is>
          <t>Sveaskog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44944</v>
      </c>
      <c r="E68" s="1" t="n">
        <v>46231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46029</v>
      </c>
      <c r="E69" s="1" t="n">
        <v>46231</v>
      </c>
      <c r="F69" t="inlineStr">
        <is>
          <t>SKÅNE LÄN</t>
        </is>
      </c>
      <c r="G69" t="inlineStr">
        <is>
          <t>HÖRBY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45792</v>
      </c>
      <c r="E70" s="1" t="n">
        <v>46231</v>
      </c>
      <c r="F70" t="inlineStr">
        <is>
          <t>SKÅNE LÄN</t>
        </is>
      </c>
      <c r="G70" t="inlineStr">
        <is>
          <t>HÖRBY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46035</v>
      </c>
      <c r="E71" s="1" t="n">
        <v>46231</v>
      </c>
      <c r="F71" t="inlineStr">
        <is>
          <t>SKÅNE LÄN</t>
        </is>
      </c>
      <c r="G71" t="inlineStr">
        <is>
          <t>HÖRBY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3013-2026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46038</v>
      </c>
      <c r="E72" s="1" t="n">
        <v>46231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2688-2026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46037</v>
      </c>
      <c r="E73" s="1" t="n">
        <v>46231</v>
      </c>
      <c r="F73" t="inlineStr">
        <is>
          <t>SKÅNE LÄN</t>
        </is>
      </c>
      <c r="G73" t="inlineStr">
        <is>
          <t>HÖRBY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28785-2023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45104</v>
      </c>
      <c r="E74" s="1" t="n">
        <v>46231</v>
      </c>
      <c r="F74" t="inlineStr">
        <is>
          <t>SKÅNE LÄN</t>
        </is>
      </c>
      <c r="G74" t="inlineStr">
        <is>
          <t>HÖRBY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45386</v>
      </c>
      <c r="E75" s="1" t="n">
        <v>46231</v>
      </c>
      <c r="F75" t="inlineStr">
        <is>
          <t>SKÅNE LÄN</t>
        </is>
      </c>
      <c r="G75" t="inlineStr">
        <is>
          <t>HÖRBY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13226-2024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46231</v>
      </c>
      <c r="F76" t="inlineStr">
        <is>
          <t>SKÅNE LÄN</t>
        </is>
      </c>
      <c r="G76" t="inlineStr">
        <is>
          <t>HÖRBY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45818</v>
      </c>
      <c r="E77" s="1" t="n">
        <v>46231</v>
      </c>
      <c r="F77" t="inlineStr">
        <is>
          <t>SKÅNE LÄN</t>
        </is>
      </c>
      <c r="G77" t="inlineStr">
        <is>
          <t>HÖRBY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46231</v>
      </c>
      <c r="F78" t="inlineStr">
        <is>
          <t>SKÅNE LÄN</t>
        </is>
      </c>
      <c r="G78" t="inlineStr">
        <is>
          <t>HÖRBY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46231</v>
      </c>
      <c r="F79" t="inlineStr">
        <is>
          <t>SKÅNE LÄN</t>
        </is>
      </c>
      <c r="G79" t="inlineStr">
        <is>
          <t>HÖRBY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5374-2026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46050</v>
      </c>
      <c r="E80" s="1" t="n">
        <v>46231</v>
      </c>
      <c r="F80" t="inlineStr">
        <is>
          <t>SKÅNE LÄN</t>
        </is>
      </c>
      <c r="G80" t="inlineStr">
        <is>
          <t>HÖRBY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45405</v>
      </c>
      <c r="E81" s="1" t="n">
        <v>46231</v>
      </c>
      <c r="F81" t="inlineStr">
        <is>
          <t>SKÅNE LÄN</t>
        </is>
      </c>
      <c r="G81" t="inlineStr">
        <is>
          <t>HÖRBY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45405</v>
      </c>
      <c r="E82" s="1" t="n">
        <v>46231</v>
      </c>
      <c r="F82" t="inlineStr">
        <is>
          <t>SKÅNE LÄN</t>
        </is>
      </c>
      <c r="G82" t="inlineStr">
        <is>
          <t>HÖRBY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45824</v>
      </c>
      <c r="E83" s="1" t="n">
        <v>46231</v>
      </c>
      <c r="F83" t="inlineStr">
        <is>
          <t>SKÅNE LÄN</t>
        </is>
      </c>
      <c r="G83" t="inlineStr">
        <is>
          <t>HÖRBY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46231</v>
      </c>
      <c r="F84" t="inlineStr">
        <is>
          <t>SKÅNE LÄN</t>
        </is>
      </c>
      <c r="G84" t="inlineStr">
        <is>
          <t>HÖRBY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45315</v>
      </c>
      <c r="E85" s="1" t="n">
        <v>46231</v>
      </c>
      <c r="F85" t="inlineStr">
        <is>
          <t>SKÅNE LÄN</t>
        </is>
      </c>
      <c r="G85" t="inlineStr">
        <is>
          <t>HÖRBY</t>
        </is>
      </c>
      <c r="H85" t="inlineStr">
        <is>
          <t>Kyrkan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45572</v>
      </c>
      <c r="E86" s="1" t="n">
        <v>46231</v>
      </c>
      <c r="F86" t="inlineStr">
        <is>
          <t>SKÅNE LÄN</t>
        </is>
      </c>
      <c r="G86" t="inlineStr">
        <is>
          <t>HÖRBY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8310-2026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46064</v>
      </c>
      <c r="E87" s="1" t="n">
        <v>46231</v>
      </c>
      <c r="F87" t="inlineStr">
        <is>
          <t>SKÅNE LÄN</t>
        </is>
      </c>
      <c r="G87" t="inlineStr">
        <is>
          <t>HÖRBY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46064</v>
      </c>
      <c r="E88" s="1" t="n">
        <v>46231</v>
      </c>
      <c r="F88" t="inlineStr">
        <is>
          <t>SKÅNE LÄN</t>
        </is>
      </c>
      <c r="G88" t="inlineStr">
        <is>
          <t>HÖRBY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8259-2026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46064</v>
      </c>
      <c r="E89" s="1" t="n">
        <v>46231</v>
      </c>
      <c r="F89" t="inlineStr">
        <is>
          <t>SKÅNE LÄN</t>
        </is>
      </c>
      <c r="G89" t="inlineStr">
        <is>
          <t>HÖRBY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46231</v>
      </c>
      <c r="F90" t="inlineStr">
        <is>
          <t>SKÅNE LÄN</t>
        </is>
      </c>
      <c r="G90" t="inlineStr">
        <is>
          <t>HÖRBY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32958-2025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46231</v>
      </c>
      <c r="F91" t="inlineStr">
        <is>
          <t>SKÅNE LÄN</t>
        </is>
      </c>
      <c r="G91" t="inlineStr">
        <is>
          <t>HÖRBY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46231</v>
      </c>
      <c r="F92" t="inlineStr">
        <is>
          <t>SKÅNE LÄN</t>
        </is>
      </c>
      <c r="G92" t="inlineStr">
        <is>
          <t>HÖRBY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46074</v>
      </c>
      <c r="E93" s="1" t="n">
        <v>46231</v>
      </c>
      <c r="F93" t="inlineStr">
        <is>
          <t>SKÅNE LÄN</t>
        </is>
      </c>
      <c r="G93" t="inlineStr">
        <is>
          <t>HÖRBY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10731-2026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46231</v>
      </c>
      <c r="F94" t="inlineStr">
        <is>
          <t>SKÅNE LÄN</t>
        </is>
      </c>
      <c r="G94" t="inlineStr">
        <is>
          <t>HÖRBY</t>
        </is>
      </c>
      <c r="H94" t="inlineStr">
        <is>
          <t>Kyrkan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46231</v>
      </c>
      <c r="F95" t="inlineStr">
        <is>
          <t>SKÅNE LÄN</t>
        </is>
      </c>
      <c r="G95" t="inlineStr">
        <is>
          <t>HÖRBY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45238</v>
      </c>
      <c r="E96" s="1" t="n">
        <v>46231</v>
      </c>
      <c r="F96" t="inlineStr">
        <is>
          <t>SKÅNE LÄN</t>
        </is>
      </c>
      <c r="G96" t="inlineStr">
        <is>
          <t>HÖRBY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46231</v>
      </c>
      <c r="F97" t="inlineStr">
        <is>
          <t>SKÅNE LÄN</t>
        </is>
      </c>
      <c r="G97" t="inlineStr">
        <is>
          <t>HÖRBY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46231</v>
      </c>
      <c r="F98" t="inlineStr">
        <is>
          <t>SKÅNE LÄN</t>
        </is>
      </c>
      <c r="G98" t="inlineStr">
        <is>
          <t>HÖRBY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45868</v>
      </c>
      <c r="E99" s="1" t="n">
        <v>46231</v>
      </c>
      <c r="F99" t="inlineStr">
        <is>
          <t>SKÅNE LÄN</t>
        </is>
      </c>
      <c r="G99" t="inlineStr">
        <is>
          <t>HÖRBY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36362-2025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45868</v>
      </c>
      <c r="E100" s="1" t="n">
        <v>46231</v>
      </c>
      <c r="F100" t="inlineStr">
        <is>
          <t>SKÅNE LÄN</t>
        </is>
      </c>
      <c r="G100" t="inlineStr">
        <is>
          <t>HÖRBY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45251</v>
      </c>
      <c r="E101" s="1" t="n">
        <v>46231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46231</v>
      </c>
      <c r="F102" t="inlineStr">
        <is>
          <t>SKÅNE LÄN</t>
        </is>
      </c>
      <c r="G102" t="inlineStr">
        <is>
          <t>HÖRBY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46231</v>
      </c>
      <c r="F103" t="inlineStr">
        <is>
          <t>SKÅNE LÄN</t>
        </is>
      </c>
      <c r="G103" t="inlineStr">
        <is>
          <t>HÖRBY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45317</v>
      </c>
      <c r="E104" s="1" t="n">
        <v>46231</v>
      </c>
      <c r="F104" t="inlineStr">
        <is>
          <t>SKÅNE LÄN</t>
        </is>
      </c>
      <c r="G104" t="inlineStr">
        <is>
          <t>HÖRBY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46231</v>
      </c>
      <c r="F105" t="inlineStr">
        <is>
          <t>SKÅNE LÄN</t>
        </is>
      </c>
      <c r="G105" t="inlineStr">
        <is>
          <t>HÖRBY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45300</v>
      </c>
      <c r="E106" s="1" t="n">
        <v>46231</v>
      </c>
      <c r="F106" t="inlineStr">
        <is>
          <t>SKÅNE LÄN</t>
        </is>
      </c>
      <c r="G106" t="inlineStr">
        <is>
          <t>HÖRBY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14307-2026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46099</v>
      </c>
      <c r="E107" s="1" t="n">
        <v>46231</v>
      </c>
      <c r="F107" t="inlineStr">
        <is>
          <t>SKÅNE LÄN</t>
        </is>
      </c>
      <c r="G107" t="inlineStr">
        <is>
          <t>HÖRBY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46231</v>
      </c>
      <c r="F108" t="inlineStr">
        <is>
          <t>SKÅNE LÄN</t>
        </is>
      </c>
      <c r="G108" t="inlineStr">
        <is>
          <t>HÖRBY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46231</v>
      </c>
      <c r="F109" t="inlineStr">
        <is>
          <t>SKÅNE LÄN</t>
        </is>
      </c>
      <c r="G109" t="inlineStr">
        <is>
          <t>HÖRBY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9850-2026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46072</v>
      </c>
      <c r="E110" s="1" t="n">
        <v>46231</v>
      </c>
      <c r="F110" t="inlineStr">
        <is>
          <t>SKÅNE LÄN</t>
        </is>
      </c>
      <c r="G110" t="inlineStr">
        <is>
          <t>HÖRBY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46231</v>
      </c>
      <c r="F111" t="inlineStr">
        <is>
          <t>SKÅNE LÄN</t>
        </is>
      </c>
      <c r="G111" t="inlineStr">
        <is>
          <t>HÖRBY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46231</v>
      </c>
      <c r="F112" t="inlineStr">
        <is>
          <t>SKÅNE LÄN</t>
        </is>
      </c>
      <c r="G112" t="inlineStr">
        <is>
          <t>HÖRBY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45677</v>
      </c>
      <c r="E113" s="1" t="n">
        <v>46231</v>
      </c>
      <c r="F113" t="inlineStr">
        <is>
          <t>SKÅNE LÄN</t>
        </is>
      </c>
      <c r="G113" t="inlineStr">
        <is>
          <t>HÖRBY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45750</v>
      </c>
      <c r="E114" s="1" t="n">
        <v>46231</v>
      </c>
      <c r="F114" t="inlineStr">
        <is>
          <t>SKÅNE LÄN</t>
        </is>
      </c>
      <c r="G114" t="inlineStr">
        <is>
          <t>HÖRBY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34422-2024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45525</v>
      </c>
      <c r="E115" s="1" t="n">
        <v>46231</v>
      </c>
      <c r="F115" t="inlineStr">
        <is>
          <t>SKÅNE LÄN</t>
        </is>
      </c>
      <c r="G115" t="inlineStr">
        <is>
          <t>HÖRBY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46231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46231</v>
      </c>
      <c r="F117" t="inlineStr">
        <is>
          <t>SKÅNE LÄN</t>
        </is>
      </c>
      <c r="G117" t="inlineStr">
        <is>
          <t>HÖRBY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46231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46231</v>
      </c>
      <c r="F119" t="inlineStr">
        <is>
          <t>SKÅNE LÄN</t>
        </is>
      </c>
      <c r="G119" t="inlineStr">
        <is>
          <t>HÖRBY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46231</v>
      </c>
      <c r="F120" t="inlineStr">
        <is>
          <t>SKÅNE LÄN</t>
        </is>
      </c>
      <c r="G120" t="inlineStr">
        <is>
          <t>HÖRBY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44523</v>
      </c>
      <c r="E121" s="1" t="n">
        <v>46231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45680</v>
      </c>
      <c r="E122" s="1" t="n">
        <v>46231</v>
      </c>
      <c r="F122" t="inlineStr">
        <is>
          <t>SKÅNE LÄN</t>
        </is>
      </c>
      <c r="G122" t="inlineStr">
        <is>
          <t>HÖRBY</t>
        </is>
      </c>
      <c r="H122" t="inlineStr">
        <is>
          <t>Kyrkan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46231</v>
      </c>
      <c r="F123" t="inlineStr">
        <is>
          <t>SKÅNE LÄN</t>
        </is>
      </c>
      <c r="G123" t="inlineStr">
        <is>
          <t>HÖRBY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46231</v>
      </c>
      <c r="F124" t="inlineStr">
        <is>
          <t>SKÅNE LÄN</t>
        </is>
      </c>
      <c r="G124" t="inlineStr">
        <is>
          <t>HÖRBY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46231</v>
      </c>
      <c r="F125" t="inlineStr">
        <is>
          <t>SKÅNE LÄN</t>
        </is>
      </c>
      <c r="G125" t="inlineStr">
        <is>
          <t>HÖRBY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45043</v>
      </c>
      <c r="E126" s="1" t="n">
        <v>46231</v>
      </c>
      <c r="F126" t="inlineStr">
        <is>
          <t>SKÅNE LÄN</t>
        </is>
      </c>
      <c r="G126" t="inlineStr">
        <is>
          <t>HÖRBY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45287</v>
      </c>
      <c r="E127" s="1" t="n">
        <v>46231</v>
      </c>
      <c r="F127" t="inlineStr">
        <is>
          <t>SKÅNE LÄN</t>
        </is>
      </c>
      <c r="G127" t="inlineStr">
        <is>
          <t>HÖRBY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46231</v>
      </c>
      <c r="F128" t="inlineStr">
        <is>
          <t>SKÅNE LÄN</t>
        </is>
      </c>
      <c r="G128" t="inlineStr">
        <is>
          <t>HÖRBY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23328-2023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45076</v>
      </c>
      <c r="E129" s="1" t="n">
        <v>46231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46231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46231</v>
      </c>
      <c r="F131" t="inlineStr">
        <is>
          <t>SKÅNE LÄN</t>
        </is>
      </c>
      <c r="G131" t="inlineStr">
        <is>
          <t>HÖRBY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46231</v>
      </c>
      <c r="F132" t="inlineStr">
        <is>
          <t>SKÅNE LÄN</t>
        </is>
      </c>
      <c r="G132" t="inlineStr">
        <is>
          <t>HÖRBY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46231</v>
      </c>
      <c r="F133" t="inlineStr">
        <is>
          <t>SKÅNE LÄN</t>
        </is>
      </c>
      <c r="G133" t="inlineStr">
        <is>
          <t>HÖRBY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45391</v>
      </c>
      <c r="E134" s="1" t="n">
        <v>46231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50200-2025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45943</v>
      </c>
      <c r="E135" s="1" t="n">
        <v>46231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46231</v>
      </c>
      <c r="F136" t="inlineStr">
        <is>
          <t>SKÅNE LÄN</t>
        </is>
      </c>
      <c r="G136" t="inlineStr">
        <is>
          <t>HÖRBY</t>
        </is>
      </c>
      <c r="I136" t="n">
        <v>18.7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46231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46202</v>
      </c>
      <c r="E138" s="1" t="n">
        <v>46231</v>
      </c>
      <c r="F138" t="inlineStr">
        <is>
          <t>SKÅNE LÄN</t>
        </is>
      </c>
      <c r="G138" t="inlineStr">
        <is>
          <t>HÖRBY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29137-2026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46202</v>
      </c>
      <c r="E139" s="1" t="n">
        <v>46231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29138-2026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46202</v>
      </c>
      <c r="E140" s="1" t="n">
        <v>46231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29135-2026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46202</v>
      </c>
      <c r="E141" s="1" t="n">
        <v>46231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46231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46231</v>
      </c>
      <c r="F143" t="inlineStr">
        <is>
          <t>SKÅNE LÄN</t>
        </is>
      </c>
      <c r="G143" t="inlineStr">
        <is>
          <t>HÖRBY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46231</v>
      </c>
      <c r="F144" t="inlineStr">
        <is>
          <t>SKÅNE LÄN</t>
        </is>
      </c>
      <c r="G144" t="inlineStr">
        <is>
          <t>HÖRBY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46231</v>
      </c>
      <c r="F145" t="inlineStr">
        <is>
          <t>SKÅNE LÄN</t>
        </is>
      </c>
      <c r="G145" t="inlineStr">
        <is>
          <t>HÖRBY</t>
        </is>
      </c>
      <c r="H145" t="inlineStr">
        <is>
          <t>Kyrkan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51757-2025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45951</v>
      </c>
      <c r="E146" s="1" t="n">
        <v>46231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46231</v>
      </c>
      <c r="F147" t="inlineStr">
        <is>
          <t>SKÅNE LÄN</t>
        </is>
      </c>
      <c r="G147" t="inlineStr">
        <is>
          <t>HÖRBY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57017-2025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45978</v>
      </c>
      <c r="E148" s="1" t="n">
        <v>46231</v>
      </c>
      <c r="F148" t="inlineStr">
        <is>
          <t>SKÅNE LÄN</t>
        </is>
      </c>
      <c r="G148" t="inlineStr">
        <is>
          <t>HÖRBY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46076</v>
      </c>
      <c r="E149" s="1" t="n">
        <v>46231</v>
      </c>
      <c r="F149" t="inlineStr">
        <is>
          <t>SKÅNE LÄN</t>
        </is>
      </c>
      <c r="G149" t="inlineStr">
        <is>
          <t>HÖRBY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52929-2025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46231</v>
      </c>
      <c r="F150" t="inlineStr">
        <is>
          <t>SKÅNE LÄN</t>
        </is>
      </c>
      <c r="G150" t="inlineStr">
        <is>
          <t>HÖRBY</t>
        </is>
      </c>
      <c r="H150" t="inlineStr">
        <is>
          <t>Sveaskog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52930-2025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46231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45616</v>
      </c>
      <c r="E152" s="1" t="n">
        <v>46231</v>
      </c>
      <c r="F152" t="inlineStr">
        <is>
          <t>SKÅNE LÄN</t>
        </is>
      </c>
      <c r="G152" t="inlineStr">
        <is>
          <t>HÖRBY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46231</v>
      </c>
      <c r="F153" t="inlineStr">
        <is>
          <t>SKÅNE LÄN</t>
        </is>
      </c>
      <c r="G153" t="inlineStr">
        <is>
          <t>HÖRBY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46231</v>
      </c>
      <c r="F154" t="inlineStr">
        <is>
          <t>SKÅNE LÄN</t>
        </is>
      </c>
      <c r="G154" t="inlineStr">
        <is>
          <t>HÖRBY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45435</v>
      </c>
      <c r="E155" s="1" t="n">
        <v>46231</v>
      </c>
      <c r="F155" t="inlineStr">
        <is>
          <t>SKÅNE LÄN</t>
        </is>
      </c>
      <c r="G155" t="inlineStr">
        <is>
          <t>HÖRBY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46231</v>
      </c>
      <c r="F156" t="inlineStr">
        <is>
          <t>SKÅNE LÄN</t>
        </is>
      </c>
      <c r="G156" t="inlineStr">
        <is>
          <t>HÖRBY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46231</v>
      </c>
      <c r="F157" t="inlineStr">
        <is>
          <t>SKÅNE LÄN</t>
        </is>
      </c>
      <c r="G157" t="inlineStr">
        <is>
          <t>HÖRBY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46213</v>
      </c>
      <c r="E158" s="1" t="n">
        <v>46231</v>
      </c>
      <c r="F158" t="inlineStr">
        <is>
          <t>SKÅNE LÄN</t>
        </is>
      </c>
      <c r="G158" t="inlineStr">
        <is>
          <t>HÖRBY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45316</v>
      </c>
      <c r="E159" s="1" t="n">
        <v>46231</v>
      </c>
      <c r="F159" t="inlineStr">
        <is>
          <t>SKÅNE LÄN</t>
        </is>
      </c>
      <c r="G159" t="inlineStr">
        <is>
          <t>HÖRBY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44816-2023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45190</v>
      </c>
      <c r="E160" s="1" t="n">
        <v>46231</v>
      </c>
      <c r="F160" t="inlineStr">
        <is>
          <t>SKÅNE LÄN</t>
        </is>
      </c>
      <c r="G160" t="inlineStr">
        <is>
          <t>HÖRBY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45762</v>
      </c>
      <c r="E161" s="1" t="n">
        <v>46231</v>
      </c>
      <c r="F161" t="inlineStr">
        <is>
          <t>SKÅNE LÄN</t>
        </is>
      </c>
      <c r="G161" t="inlineStr">
        <is>
          <t>HÖRBY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45203</v>
      </c>
      <c r="E162" s="1" t="n">
        <v>46231</v>
      </c>
      <c r="F162" t="inlineStr">
        <is>
          <t>SKÅNE LÄN</t>
        </is>
      </c>
      <c r="G162" t="inlineStr">
        <is>
          <t>HÖRBY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54765-2025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46231</v>
      </c>
      <c r="F163" t="inlineStr">
        <is>
          <t>SKÅNE LÄN</t>
        </is>
      </c>
      <c r="G163" t="inlineStr">
        <is>
          <t>HÖRBY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45226</v>
      </c>
      <c r="E164" s="1" t="n">
        <v>46231</v>
      </c>
      <c r="F164" t="inlineStr">
        <is>
          <t>SKÅNE LÄN</t>
        </is>
      </c>
      <c r="G164" t="inlineStr">
        <is>
          <t>HÖRBY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46231</v>
      </c>
      <c r="F165" t="inlineStr">
        <is>
          <t>SKÅNE LÄN</t>
        </is>
      </c>
      <c r="G165" t="inlineStr">
        <is>
          <t>HÖRBY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19777-2023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45051</v>
      </c>
      <c r="E166" s="1" t="n">
        <v>46231</v>
      </c>
      <c r="F166" t="inlineStr">
        <is>
          <t>SKÅNE LÄN</t>
        </is>
      </c>
      <c r="G166" t="inlineStr">
        <is>
          <t>HÖRBY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46231</v>
      </c>
      <c r="F167" t="inlineStr">
        <is>
          <t>SKÅNE LÄN</t>
        </is>
      </c>
      <c r="G167" t="inlineStr">
        <is>
          <t>HÖRBY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45680</v>
      </c>
      <c r="E168" s="1" t="n">
        <v>46231</v>
      </c>
      <c r="F168" t="inlineStr">
        <is>
          <t>SKÅNE LÄN</t>
        </is>
      </c>
      <c r="G168" t="inlineStr">
        <is>
          <t>HÖRBY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46231</v>
      </c>
      <c r="F169" t="inlineStr">
        <is>
          <t>SKÅNE LÄN</t>
        </is>
      </c>
      <c r="G169" t="inlineStr">
        <is>
          <t>HÖRBY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46231</v>
      </c>
      <c r="F170" t="inlineStr">
        <is>
          <t>SKÅNE LÄN</t>
        </is>
      </c>
      <c r="G170" t="inlineStr">
        <is>
          <t>HÖRBY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55304-2025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45970</v>
      </c>
      <c r="E171" s="1" t="n">
        <v>46231</v>
      </c>
      <c r="F171" t="inlineStr">
        <is>
          <t>SKÅNE LÄN</t>
        </is>
      </c>
      <c r="G171" t="inlineStr">
        <is>
          <t>HÖRBY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55306-2025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45970</v>
      </c>
      <c r="E172" s="1" t="n">
        <v>46231</v>
      </c>
      <c r="F172" t="inlineStr">
        <is>
          <t>SKÅNE LÄN</t>
        </is>
      </c>
      <c r="G172" t="inlineStr">
        <is>
          <t>HÖRBY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46231</v>
      </c>
      <c r="F173" t="inlineStr">
        <is>
          <t>SKÅNE LÄN</t>
        </is>
      </c>
      <c r="G173" t="inlineStr">
        <is>
          <t>HÖRBY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45521</v>
      </c>
      <c r="E174" s="1" t="n">
        <v>46231</v>
      </c>
      <c r="F174" t="inlineStr">
        <is>
          <t>SKÅNE LÄN</t>
        </is>
      </c>
      <c r="G174" t="inlineStr">
        <is>
          <t>HÖRBY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3177-2026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46041</v>
      </c>
      <c r="E175" s="1" t="n">
        <v>46231</v>
      </c>
      <c r="F175" t="inlineStr">
        <is>
          <t>SKÅNE LÄN</t>
        </is>
      </c>
      <c r="G175" t="inlineStr">
        <is>
          <t>HÖRBY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23606-2026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46162</v>
      </c>
      <c r="E176" s="1" t="n">
        <v>46231</v>
      </c>
      <c r="F176" t="inlineStr">
        <is>
          <t>SKÅNE LÄN</t>
        </is>
      </c>
      <c r="G176" t="inlineStr">
        <is>
          <t>HÖRBY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46231</v>
      </c>
      <c r="F177" t="inlineStr">
        <is>
          <t>SKÅNE LÄN</t>
        </is>
      </c>
      <c r="G177" t="inlineStr">
        <is>
          <t>HÖRBY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46136</v>
      </c>
      <c r="E178" s="1" t="n">
        <v>46231</v>
      </c>
      <c r="F178" t="inlineStr">
        <is>
          <t>SKÅNE LÄN</t>
        </is>
      </c>
      <c r="G178" t="inlineStr">
        <is>
          <t>HÖRBY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46112</v>
      </c>
      <c r="E179" s="1" t="n">
        <v>46231</v>
      </c>
      <c r="F179" t="inlineStr">
        <is>
          <t>SKÅNE LÄN</t>
        </is>
      </c>
      <c r="G179" t="inlineStr">
        <is>
          <t>HÖRBY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45250</v>
      </c>
      <c r="E180" s="1" t="n">
        <v>46231</v>
      </c>
      <c r="F180" t="inlineStr">
        <is>
          <t>SKÅNE LÄN</t>
        </is>
      </c>
      <c r="G180" t="inlineStr">
        <is>
          <t>HÖRBY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46231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46231</v>
      </c>
      <c r="F182" t="inlineStr">
        <is>
          <t>SKÅNE LÄN</t>
        </is>
      </c>
      <c r="G182" t="inlineStr">
        <is>
          <t>HÖRBY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45105</v>
      </c>
      <c r="E183" s="1" t="n">
        <v>46231</v>
      </c>
      <c r="F183" t="inlineStr">
        <is>
          <t>SKÅNE LÄN</t>
        </is>
      </c>
      <c r="G183" t="inlineStr">
        <is>
          <t>HÖRBY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45680</v>
      </c>
      <c r="E184" s="1" t="n">
        <v>46231</v>
      </c>
      <c r="F184" t="inlineStr">
        <is>
          <t>SKÅNE LÄN</t>
        </is>
      </c>
      <c r="G184" t="inlineStr">
        <is>
          <t>HÖRBY</t>
        </is>
      </c>
      <c r="H184" t="inlineStr">
        <is>
          <t>Kyrkan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45970</v>
      </c>
      <c r="E185" s="1" t="n">
        <v>46231</v>
      </c>
      <c r="F185" t="inlineStr">
        <is>
          <t>SKÅNE LÄN</t>
        </is>
      </c>
      <c r="G185" t="inlineStr">
        <is>
          <t>HÖRBY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46231</v>
      </c>
      <c r="F186" t="inlineStr">
        <is>
          <t>SKÅNE LÄN</t>
        </is>
      </c>
      <c r="G186" t="inlineStr">
        <is>
          <t>HÖRBY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46231</v>
      </c>
      <c r="F187" t="inlineStr">
        <is>
          <t>SKÅNE LÄN</t>
        </is>
      </c>
      <c r="G187" t="inlineStr">
        <is>
          <t>HÖRBY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46231</v>
      </c>
      <c r="F188" t="inlineStr">
        <is>
          <t>SKÅNE LÄN</t>
        </is>
      </c>
      <c r="G188" t="inlineStr">
        <is>
          <t>HÖRBY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24670-2024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45460</v>
      </c>
      <c r="E189" s="1" t="n">
        <v>46231</v>
      </c>
      <c r="F189" t="inlineStr">
        <is>
          <t>SKÅNE LÄN</t>
        </is>
      </c>
      <c r="G189" t="inlineStr">
        <is>
          <t>HÖRBY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62277-2025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46006</v>
      </c>
      <c r="E190" s="1" t="n">
        <v>46231</v>
      </c>
      <c r="F190" t="inlineStr">
        <is>
          <t>SKÅNE LÄN</t>
        </is>
      </c>
      <c r="G190" t="inlineStr">
        <is>
          <t>HÖRBY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46231</v>
      </c>
      <c r="F191" t="inlineStr">
        <is>
          <t>SKÅNE LÄN</t>
        </is>
      </c>
      <c r="G191" t="inlineStr">
        <is>
          <t>HÖRBY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45502</v>
      </c>
      <c r="E192" s="1" t="n">
        <v>46231</v>
      </c>
      <c r="F192" t="inlineStr">
        <is>
          <t>SKÅNE LÄN</t>
        </is>
      </c>
      <c r="G192" t="inlineStr">
        <is>
          <t>HÖRBY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46231</v>
      </c>
      <c r="F193" t="inlineStr">
        <is>
          <t>SKÅNE LÄN</t>
        </is>
      </c>
      <c r="G193" t="inlineStr">
        <is>
          <t>HÖRBY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44814</v>
      </c>
      <c r="E194" s="1" t="n">
        <v>46231</v>
      </c>
      <c r="F194" t="inlineStr">
        <is>
          <t>SKÅNE LÄN</t>
        </is>
      </c>
      <c r="G194" t="inlineStr">
        <is>
          <t>HÖRBY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37757-2024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46231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45079</v>
      </c>
      <c r="E196" s="1" t="n">
        <v>46231</v>
      </c>
      <c r="F196" t="inlineStr">
        <is>
          <t>SKÅNE LÄN</t>
        </is>
      </c>
      <c r="G196" t="inlineStr">
        <is>
          <t>HÖRBY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46231</v>
      </c>
      <c r="F197" t="inlineStr">
        <is>
          <t>SKÅNE LÄN</t>
        </is>
      </c>
      <c r="G197" t="inlineStr">
        <is>
          <t>HÖRBY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46231</v>
      </c>
      <c r="F198" t="inlineStr">
        <is>
          <t>SKÅNE LÄN</t>
        </is>
      </c>
      <c r="G198" t="inlineStr">
        <is>
          <t>HÖRBY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45436</v>
      </c>
      <c r="E199" s="1" t="n">
        <v>46231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46231</v>
      </c>
      <c r="F200" t="inlineStr">
        <is>
          <t>SKÅNE LÄN</t>
        </is>
      </c>
      <c r="G200" t="inlineStr">
        <is>
          <t>HÖRBY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43685-2022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44837</v>
      </c>
      <c r="E201" s="1" t="n">
        <v>46231</v>
      </c>
      <c r="F201" t="inlineStr">
        <is>
          <t>SKÅNE LÄN</t>
        </is>
      </c>
      <c r="G201" t="inlineStr">
        <is>
          <t>HÖRBY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24724-2024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45460</v>
      </c>
      <c r="E202" s="1" t="n">
        <v>46231</v>
      </c>
      <c r="F202" t="inlineStr">
        <is>
          <t>SKÅNE LÄN</t>
        </is>
      </c>
      <c r="G202" t="inlineStr">
        <is>
          <t>HÖRBY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6558-2025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45699</v>
      </c>
      <c r="E203" s="1" t="n">
        <v>46231</v>
      </c>
      <c r="F203" t="inlineStr">
        <is>
          <t>SKÅNE LÄN</t>
        </is>
      </c>
      <c r="G203" t="inlineStr">
        <is>
          <t>HÖRBY</t>
        </is>
      </c>
      <c r="H203" t="inlineStr">
        <is>
          <t>Kommuner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44944</v>
      </c>
      <c r="E204" s="1" t="n">
        <v>46231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44775</v>
      </c>
      <c r="E205" s="1" t="n">
        <v>46231</v>
      </c>
      <c r="F205" t="inlineStr">
        <is>
          <t>SKÅNE LÄN</t>
        </is>
      </c>
      <c r="G205" t="inlineStr">
        <is>
          <t>HÖRBY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45237</v>
      </c>
      <c r="E206" s="1" t="n">
        <v>46231</v>
      </c>
      <c r="F206" t="inlineStr">
        <is>
          <t>SKÅNE LÄN</t>
        </is>
      </c>
      <c r="G206" t="inlineStr">
        <is>
          <t>HÖRBY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45104</v>
      </c>
      <c r="E207" s="1" t="n">
        <v>46231</v>
      </c>
      <c r="F207" t="inlineStr">
        <is>
          <t>SKÅNE LÄN</t>
        </is>
      </c>
      <c r="G207" t="inlineStr">
        <is>
          <t>HÖRBY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44946</v>
      </c>
      <c r="E208" s="1" t="n">
        <v>46231</v>
      </c>
      <c r="F208" t="inlineStr">
        <is>
          <t>SKÅNE LÄN</t>
        </is>
      </c>
      <c r="G208" t="inlineStr">
        <is>
          <t>HÖRBY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46231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48427-2022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44858</v>
      </c>
      <c r="E210" s="1" t="n">
        <v>46231</v>
      </c>
      <c r="F210" t="inlineStr">
        <is>
          <t>SKÅNE LÄN</t>
        </is>
      </c>
      <c r="G210" t="inlineStr">
        <is>
          <t>HÖRBY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45688</v>
      </c>
      <c r="E211" s="1" t="n">
        <v>46231</v>
      </c>
      <c r="F211" t="inlineStr">
        <is>
          <t>SKÅNE LÄN</t>
        </is>
      </c>
      <c r="G211" t="inlineStr">
        <is>
          <t>HÖRBY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45128</v>
      </c>
      <c r="E212" s="1" t="n">
        <v>46231</v>
      </c>
      <c r="F212" t="inlineStr">
        <is>
          <t>SKÅNE LÄN</t>
        </is>
      </c>
      <c r="G212" t="inlineStr">
        <is>
          <t>HÖRBY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46231</v>
      </c>
      <c r="F213" t="inlineStr">
        <is>
          <t>SKÅNE LÄN</t>
        </is>
      </c>
      <c r="G213" t="inlineStr">
        <is>
          <t>HÖRBY</t>
        </is>
      </c>
      <c r="H213" t="inlineStr">
        <is>
          <t>Sveaskog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41940-2022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46231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45187</v>
      </c>
      <c r="E215" s="1" t="n">
        <v>46231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45103</v>
      </c>
      <c r="E216" s="1" t="n">
        <v>46231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44693</v>
      </c>
      <c r="E217" s="1" t="n">
        <v>46231</v>
      </c>
      <c r="F217" t="inlineStr">
        <is>
          <t>SKÅNE LÄN</t>
        </is>
      </c>
      <c r="G217" t="inlineStr">
        <is>
          <t>HÖRBY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45203</v>
      </c>
      <c r="E218" s="1" t="n">
        <v>46231</v>
      </c>
      <c r="F218" t="inlineStr">
        <is>
          <t>SKÅNE LÄN</t>
        </is>
      </c>
      <c r="G218" t="inlineStr">
        <is>
          <t>HÖRBY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45261</v>
      </c>
      <c r="E219" s="1" t="n">
        <v>46231</v>
      </c>
      <c r="F219" t="inlineStr">
        <is>
          <t>SKÅNE LÄN</t>
        </is>
      </c>
      <c r="G219" t="inlineStr">
        <is>
          <t>HÖRBY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46231</v>
      </c>
      <c r="F220" t="inlineStr">
        <is>
          <t>SKÅNE LÄN</t>
        </is>
      </c>
      <c r="G220" t="inlineStr">
        <is>
          <t>HÖRBY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46231</v>
      </c>
      <c r="F221" t="inlineStr">
        <is>
          <t>SKÅNE LÄN</t>
        </is>
      </c>
      <c r="G221" t="inlineStr">
        <is>
          <t>HÖRBY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16665-2025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45754</v>
      </c>
      <c r="E222" s="1" t="n">
        <v>46231</v>
      </c>
      <c r="F222" t="inlineStr">
        <is>
          <t>SKÅNE LÄN</t>
        </is>
      </c>
      <c r="G222" t="inlineStr">
        <is>
          <t>HÖRBY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46231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46231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46231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46231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46231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46231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46231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46231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2026-07-28T01:49:06Z</dcterms:created>
  <dcterms:modified xmlns:dcterms="http://purl.org/dc/terms/" xmlns:xsi="http://www.w3.org/2001/XMLSchema-instance" xsi:type="dcterms:W3CDTF">2026-07-28T01:49:06Z</dcterms:modified>
</cp:coreProperties>
</file>