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46270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46270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46270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46270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46270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46270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46270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46270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46270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46270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46270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46270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46270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46270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46270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46270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46270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46270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46270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46270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46270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46270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46270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46270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46270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46270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46270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46270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46270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46270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46270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46270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46270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HYPERLINK("https://klasma.github.io/Logging_1266/artfynd/A 21713-2025 artfynd.xlsx", "A 21713-2025")</f>
        <v/>
      </c>
      <c r="X34">
        <f>HYPERLINK("https://klasma.github.io/Logging_1266/kartor/A 21713-2025 karta.png", "A 21713-2025")</f>
        <v/>
      </c>
      <c r="Y34">
        <f>HYPERLINK("https://klasma.github.io/Logging_1266/kartor_geotiff/A 21713-2025 georefererad karta.tif", "A 21713-2025")</f>
        <v/>
      </c>
      <c r="AA34">
        <f>HYPERLINK("https://klasma.github.io/Logging_1266/klagomål/A 21713-2025 FSC-klagomål.docx", "A 21713-2025")</f>
        <v/>
      </c>
      <c r="AB34">
        <f>HYPERLINK("https://klasma.github.io/Logging_1266/klagomålsmail/A 21713-2025 FSC-klagomål mail.docx", "A 21713-2025")</f>
        <v/>
      </c>
      <c r="AC34">
        <f>HYPERLINK("https://klasma.github.io/Logging_1266/tillsyn/A 21713-2025 tillsynsbegäran.docx", "A 21713-2025")</f>
        <v/>
      </c>
      <c r="AD34">
        <f>HYPERLINK("https://klasma.github.io/Logging_1266/tillsynsmail/A 21713-2025 tillsynsbegäran mail.docx", "A 21713-2025")</f>
        <v/>
      </c>
    </row>
    <row r="35" ht="15" customHeight="1">
      <c r="A35" t="inlineStr">
        <is>
          <t>A 31284-2026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46270</v>
      </c>
      <c r="F35" t="inlineStr">
        <is>
          <t>SKÅNE LÄN</t>
        </is>
      </c>
      <c r="G35" t="inlineStr">
        <is>
          <t>HÖRBY</t>
        </is>
      </c>
      <c r="I35" t="n">
        <v>6.8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groda</t>
        </is>
      </c>
      <c r="W35">
        <f>HYPERLINK("https://klasma.github.io/Logging_1266/artfynd/A 31284-2026 artfynd.xlsx", "A 31284-2026")</f>
        <v/>
      </c>
      <c r="X35">
        <f>HYPERLINK("https://klasma.github.io/Logging_1266/kartor/A 31284-2026 karta.png", "A 31284-2026")</f>
        <v/>
      </c>
      <c r="Y35">
        <f>HYPERLINK("https://klasma.github.io/Logging_1266/kartor_geotiff/A 31284-2026 georefererad karta.tif", "A 31284-2026")</f>
        <v/>
      </c>
      <c r="AA35">
        <f>HYPERLINK("https://klasma.github.io/Logging_1266/klagomål/A 31284-2026 FSC-klagomål.docx", "A 31284-2026")</f>
        <v/>
      </c>
      <c r="AB35">
        <f>HYPERLINK("https://klasma.github.io/Logging_1266/klagomålsmail/A 31284-2026 FSC-klagomål mail.docx", "A 31284-2026")</f>
        <v/>
      </c>
      <c r="AC35">
        <f>HYPERLINK("https://klasma.github.io/Logging_1266/tillsyn/A 31284-2026 tillsynsbegäran.docx", "A 31284-2026")</f>
        <v/>
      </c>
      <c r="AD35">
        <f>HYPERLINK("https://klasma.github.io/Logging_1266/tillsynsmail/A 31284-2026 tillsynsbegäran mail.docx", "A 31284-2026")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46270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46270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46270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46270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46270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46270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46270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46270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46270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46270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46270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46270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46270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46270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46270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24670-2024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45460</v>
      </c>
      <c r="E51" s="1" t="n">
        <v>46270</v>
      </c>
      <c r="F51" t="inlineStr">
        <is>
          <t>SKÅNE LÄN</t>
        </is>
      </c>
      <c r="G51" t="inlineStr">
        <is>
          <t>HÖRBY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46270</v>
      </c>
      <c r="F52" t="inlineStr">
        <is>
          <t>SKÅNE LÄN</t>
        </is>
      </c>
      <c r="G52" t="inlineStr">
        <is>
          <t>HÖRBY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46270</v>
      </c>
      <c r="F53" t="inlineStr">
        <is>
          <t>SKÅNE LÄN</t>
        </is>
      </c>
      <c r="G53" t="inlineStr">
        <is>
          <t>HÖRBY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45541</v>
      </c>
      <c r="E54" s="1" t="n">
        <v>46270</v>
      </c>
      <c r="F54" t="inlineStr">
        <is>
          <t>SKÅNE LÄN</t>
        </is>
      </c>
      <c r="G54" t="inlineStr">
        <is>
          <t>HÖRBY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46270</v>
      </c>
      <c r="F55" t="inlineStr">
        <is>
          <t>SKÅNE LÄN</t>
        </is>
      </c>
      <c r="G55" t="inlineStr">
        <is>
          <t>HÖRBY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46270</v>
      </c>
      <c r="F56" t="inlineStr">
        <is>
          <t>SKÅNE LÄN</t>
        </is>
      </c>
      <c r="G56" t="inlineStr">
        <is>
          <t>HÖRBY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45677</v>
      </c>
      <c r="E57" s="1" t="n">
        <v>46270</v>
      </c>
      <c r="F57" t="inlineStr">
        <is>
          <t>SKÅNE LÄN</t>
        </is>
      </c>
      <c r="G57" t="inlineStr">
        <is>
          <t>HÖRBY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28785-2023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45104</v>
      </c>
      <c r="E58" s="1" t="n">
        <v>46270</v>
      </c>
      <c r="F58" t="inlineStr">
        <is>
          <t>SKÅNE LÄN</t>
        </is>
      </c>
      <c r="G58" t="inlineStr">
        <is>
          <t>HÖRBY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46270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46270</v>
      </c>
      <c r="F60" t="inlineStr">
        <is>
          <t>SKÅNE LÄN</t>
        </is>
      </c>
      <c r="G60" t="inlineStr">
        <is>
          <t>HÖRBY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46270</v>
      </c>
      <c r="F61" t="inlineStr">
        <is>
          <t>SKÅNE LÄN</t>
        </is>
      </c>
      <c r="G61" t="inlineStr">
        <is>
          <t>HÖRBY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46270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45128</v>
      </c>
      <c r="E63" s="1" t="n">
        <v>46270</v>
      </c>
      <c r="F63" t="inlineStr">
        <is>
          <t>SKÅNE LÄN</t>
        </is>
      </c>
      <c r="G63" t="inlineStr">
        <is>
          <t>HÖRBY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46270</v>
      </c>
      <c r="F64" t="inlineStr">
        <is>
          <t>SKÅNE LÄN</t>
        </is>
      </c>
      <c r="G64" t="inlineStr">
        <is>
          <t>HÖRBY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43711-2024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45569</v>
      </c>
      <c r="E65" s="1" t="n">
        <v>46270</v>
      </c>
      <c r="F65" t="inlineStr">
        <is>
          <t>SKÅNE LÄN</t>
        </is>
      </c>
      <c r="G65" t="inlineStr">
        <is>
          <t>HÖRBY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46270</v>
      </c>
      <c r="F66" t="inlineStr">
        <is>
          <t>SKÅNE LÄN</t>
        </is>
      </c>
      <c r="G66" t="inlineStr">
        <is>
          <t>HÖRBY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46270</v>
      </c>
      <c r="F67" t="inlineStr">
        <is>
          <t>SKÅNE LÄN</t>
        </is>
      </c>
      <c r="G67" t="inlineStr">
        <is>
          <t>HÖRBY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45203</v>
      </c>
      <c r="E68" s="1" t="n">
        <v>46270</v>
      </c>
      <c r="F68" t="inlineStr">
        <is>
          <t>SKÅNE LÄN</t>
        </is>
      </c>
      <c r="G68" t="inlineStr">
        <is>
          <t>HÖRBY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45317</v>
      </c>
      <c r="E69" s="1" t="n">
        <v>46270</v>
      </c>
      <c r="F69" t="inlineStr">
        <is>
          <t>SKÅNE LÄN</t>
        </is>
      </c>
      <c r="G69" t="inlineStr">
        <is>
          <t>HÖRBY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45166</v>
      </c>
      <c r="E70" s="1" t="n">
        <v>46270</v>
      </c>
      <c r="F70" t="inlineStr">
        <is>
          <t>SKÅNE LÄN</t>
        </is>
      </c>
      <c r="G70" t="inlineStr">
        <is>
          <t>HÖRBY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45551</v>
      </c>
      <c r="E71" s="1" t="n">
        <v>46270</v>
      </c>
      <c r="F71" t="inlineStr">
        <is>
          <t>SKÅNE LÄN</t>
        </is>
      </c>
      <c r="G71" t="inlineStr">
        <is>
          <t>HÖRBY</t>
        </is>
      </c>
      <c r="H71" t="inlineStr">
        <is>
          <t>Sveaskog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46270</v>
      </c>
      <c r="F72" t="inlineStr">
        <is>
          <t>SKÅNE LÄN</t>
        </is>
      </c>
      <c r="G72" t="inlineStr">
        <is>
          <t>HÖRBY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45363</v>
      </c>
      <c r="E73" s="1" t="n">
        <v>46270</v>
      </c>
      <c r="F73" t="inlineStr">
        <is>
          <t>SKÅNE LÄN</t>
        </is>
      </c>
      <c r="G73" t="inlineStr">
        <is>
          <t>HÖRBY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45818</v>
      </c>
      <c r="E74" s="1" t="n">
        <v>46270</v>
      </c>
      <c r="F74" t="inlineStr">
        <is>
          <t>SKÅNE LÄN</t>
        </is>
      </c>
      <c r="G74" t="inlineStr">
        <is>
          <t>HÖRBY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46270</v>
      </c>
      <c r="F75" t="inlineStr">
        <is>
          <t>SKÅNE LÄN</t>
        </is>
      </c>
      <c r="G75" t="inlineStr">
        <is>
          <t>HÖRBY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45715</v>
      </c>
      <c r="E76" s="1" t="n">
        <v>46270</v>
      </c>
      <c r="F76" t="inlineStr">
        <is>
          <t>SKÅNE LÄN</t>
        </is>
      </c>
      <c r="G76" t="inlineStr">
        <is>
          <t>HÖRBY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46029</v>
      </c>
      <c r="E77" s="1" t="n">
        <v>46270</v>
      </c>
      <c r="F77" t="inlineStr">
        <is>
          <t>SKÅNE LÄN</t>
        </is>
      </c>
      <c r="G77" t="inlineStr">
        <is>
          <t>HÖRBY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46270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46270</v>
      </c>
      <c r="F79" t="inlineStr">
        <is>
          <t>SKÅNE LÄN</t>
        </is>
      </c>
      <c r="G79" t="inlineStr">
        <is>
          <t>HÖRBY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45176</v>
      </c>
      <c r="E80" s="1" t="n">
        <v>46270</v>
      </c>
      <c r="F80" t="inlineStr">
        <is>
          <t>SKÅNE LÄN</t>
        </is>
      </c>
      <c r="G80" t="inlineStr">
        <is>
          <t>HÖRBY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46270</v>
      </c>
      <c r="F81" t="inlineStr">
        <is>
          <t>SKÅNE LÄN</t>
        </is>
      </c>
      <c r="G81" t="inlineStr">
        <is>
          <t>HÖRBY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46030</v>
      </c>
      <c r="E82" s="1" t="n">
        <v>46270</v>
      </c>
      <c r="F82" t="inlineStr">
        <is>
          <t>SKÅNE LÄN</t>
        </is>
      </c>
      <c r="G82" t="inlineStr">
        <is>
          <t>HÖRBY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46270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43932-2023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46270</v>
      </c>
      <c r="F84" t="inlineStr">
        <is>
          <t>SKÅNE LÄN</t>
        </is>
      </c>
      <c r="G84" t="inlineStr">
        <is>
          <t>HÖRBY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45187</v>
      </c>
      <c r="E85" s="1" t="n">
        <v>46270</v>
      </c>
      <c r="F85" t="inlineStr">
        <is>
          <t>SKÅNE LÄN</t>
        </is>
      </c>
      <c r="G85" t="inlineStr">
        <is>
          <t>HÖRBY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46030</v>
      </c>
      <c r="E86" s="1" t="n">
        <v>46270</v>
      </c>
      <c r="F86" t="inlineStr">
        <is>
          <t>SKÅNE LÄN</t>
        </is>
      </c>
      <c r="G86" t="inlineStr">
        <is>
          <t>HÖRBY</t>
        </is>
      </c>
      <c r="H86" t="inlineStr">
        <is>
          <t>Sveaskog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46270</v>
      </c>
      <c r="F87" t="inlineStr">
        <is>
          <t>SKÅNE LÄN</t>
        </is>
      </c>
      <c r="G87" t="inlineStr">
        <is>
          <t>HÖRBY</t>
        </is>
      </c>
      <c r="H87" t="inlineStr">
        <is>
          <t>Sveaskog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46270</v>
      </c>
      <c r="F88" t="inlineStr">
        <is>
          <t>SKÅNE LÄN</t>
        </is>
      </c>
      <c r="G88" t="inlineStr">
        <is>
          <t>HÖRBY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45845</v>
      </c>
      <c r="E89" s="1" t="n">
        <v>46270</v>
      </c>
      <c r="F89" t="inlineStr">
        <is>
          <t>SKÅNE LÄN</t>
        </is>
      </c>
      <c r="G89" t="inlineStr">
        <is>
          <t>HÖRBY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46270</v>
      </c>
      <c r="F90" t="inlineStr">
        <is>
          <t>SKÅNE LÄN</t>
        </is>
      </c>
      <c r="G90" t="inlineStr">
        <is>
          <t>HÖRBY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46270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44858</v>
      </c>
      <c r="E92" s="1" t="n">
        <v>46270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45541</v>
      </c>
      <c r="E93" s="1" t="n">
        <v>46270</v>
      </c>
      <c r="F93" t="inlineStr">
        <is>
          <t>SKÅNE LÄN</t>
        </is>
      </c>
      <c r="G93" t="inlineStr">
        <is>
          <t>HÖRBY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46270</v>
      </c>
      <c r="F94" t="inlineStr">
        <is>
          <t>SKÅNE LÄN</t>
        </is>
      </c>
      <c r="G94" t="inlineStr">
        <is>
          <t>HÖRBY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45572</v>
      </c>
      <c r="E95" s="1" t="n">
        <v>46270</v>
      </c>
      <c r="F95" t="inlineStr">
        <is>
          <t>SKÅNE LÄN</t>
        </is>
      </c>
      <c r="G95" t="inlineStr">
        <is>
          <t>HÖRBY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46270</v>
      </c>
      <c r="F96" t="inlineStr">
        <is>
          <t>SKÅNE LÄN</t>
        </is>
      </c>
      <c r="G96" t="inlineStr">
        <is>
          <t>HÖRBY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46270</v>
      </c>
      <c r="F97" t="inlineStr">
        <is>
          <t>SKÅNE LÄN</t>
        </is>
      </c>
      <c r="G97" t="inlineStr">
        <is>
          <t>HÖRBY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47552-2023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45203</v>
      </c>
      <c r="E98" s="1" t="n">
        <v>46270</v>
      </c>
      <c r="F98" t="inlineStr">
        <is>
          <t>SKÅNE LÄN</t>
        </is>
      </c>
      <c r="G98" t="inlineStr">
        <is>
          <t>HÖRBY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46270</v>
      </c>
      <c r="F99" t="inlineStr">
        <is>
          <t>SKÅNE LÄN</t>
        </is>
      </c>
      <c r="G99" t="inlineStr">
        <is>
          <t>HÖRBY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46270</v>
      </c>
      <c r="F100" t="inlineStr">
        <is>
          <t>SKÅNE LÄN</t>
        </is>
      </c>
      <c r="G100" t="inlineStr">
        <is>
          <t>HÖRBY</t>
        </is>
      </c>
      <c r="I100" t="n">
        <v>18.7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44944</v>
      </c>
      <c r="E101" s="1" t="n">
        <v>46270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36355-2025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45868</v>
      </c>
      <c r="E102" s="1" t="n">
        <v>46270</v>
      </c>
      <c r="F102" t="inlineStr">
        <is>
          <t>SKÅNE LÄN</t>
        </is>
      </c>
      <c r="G102" t="inlineStr">
        <is>
          <t>HÖRBY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46038</v>
      </c>
      <c r="E103" s="1" t="n">
        <v>46270</v>
      </c>
      <c r="F103" t="inlineStr">
        <is>
          <t>SKÅNE LÄN</t>
        </is>
      </c>
      <c r="G103" t="inlineStr">
        <is>
          <t>HÖRBY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51757-2025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45951</v>
      </c>
      <c r="E104" s="1" t="n">
        <v>46270</v>
      </c>
      <c r="F104" t="inlineStr">
        <is>
          <t>SKÅNE LÄN</t>
        </is>
      </c>
      <c r="G104" t="inlineStr">
        <is>
          <t>HÖRBY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37082-2023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45155</v>
      </c>
      <c r="E105" s="1" t="n">
        <v>46270</v>
      </c>
      <c r="F105" t="inlineStr">
        <is>
          <t>SKÅNE LÄN</t>
        </is>
      </c>
      <c r="G105" t="inlineStr">
        <is>
          <t>HÖRBY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25552-2025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45803</v>
      </c>
      <c r="E106" s="1" t="n">
        <v>46270</v>
      </c>
      <c r="F106" t="inlineStr">
        <is>
          <t>SKÅNE LÄN</t>
        </is>
      </c>
      <c r="G106" t="inlineStr">
        <is>
          <t>HÖRBY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45226</v>
      </c>
      <c r="E107" s="1" t="n">
        <v>46270</v>
      </c>
      <c r="F107" t="inlineStr">
        <is>
          <t>SKÅNE LÄN</t>
        </is>
      </c>
      <c r="G107" t="inlineStr">
        <is>
          <t>HÖRBY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46270</v>
      </c>
      <c r="F108" t="inlineStr">
        <is>
          <t>SKÅNE LÄN</t>
        </is>
      </c>
      <c r="G108" t="inlineStr">
        <is>
          <t>HÖRBY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46270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46270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45882</v>
      </c>
      <c r="E111" s="1" t="n">
        <v>46270</v>
      </c>
      <c r="F111" t="inlineStr">
        <is>
          <t>SKÅNE LÄN</t>
        </is>
      </c>
      <c r="G111" t="inlineStr">
        <is>
          <t>HÖRBY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46050</v>
      </c>
      <c r="E112" s="1" t="n">
        <v>46270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46270</v>
      </c>
      <c r="F113" t="inlineStr">
        <is>
          <t>SKÅNE LÄN</t>
        </is>
      </c>
      <c r="G113" t="inlineStr">
        <is>
          <t>HÖRBY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13633-2024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46270</v>
      </c>
      <c r="F114" t="inlineStr">
        <is>
          <t>SKÅNE LÄN</t>
        </is>
      </c>
      <c r="G114" t="inlineStr">
        <is>
          <t>HÖRBY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45190</v>
      </c>
      <c r="E115" s="1" t="n">
        <v>46270</v>
      </c>
      <c r="F115" t="inlineStr">
        <is>
          <t>SKÅNE LÄN</t>
        </is>
      </c>
      <c r="G115" t="inlineStr">
        <is>
          <t>HÖRBY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45103</v>
      </c>
      <c r="E116" s="1" t="n">
        <v>46270</v>
      </c>
      <c r="F116" t="inlineStr">
        <is>
          <t>SKÅNE LÄN</t>
        </is>
      </c>
      <c r="G116" t="inlineStr">
        <is>
          <t>HÖRBY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54765-2025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45966</v>
      </c>
      <c r="E117" s="1" t="n">
        <v>46270</v>
      </c>
      <c r="F117" t="inlineStr">
        <is>
          <t>SKÅNE LÄN</t>
        </is>
      </c>
      <c r="G117" t="inlineStr">
        <is>
          <t>HÖRBY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55304-2025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45970</v>
      </c>
      <c r="E118" s="1" t="n">
        <v>46270</v>
      </c>
      <c r="F118" t="inlineStr">
        <is>
          <t>SKÅNE LÄN</t>
        </is>
      </c>
      <c r="G118" t="inlineStr">
        <is>
          <t>HÖRBY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55306-2025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45970</v>
      </c>
      <c r="E119" s="1" t="n">
        <v>46270</v>
      </c>
      <c r="F119" t="inlineStr">
        <is>
          <t>SKÅNE LÄN</t>
        </is>
      </c>
      <c r="G119" t="inlineStr">
        <is>
          <t>HÖRBY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46270</v>
      </c>
      <c r="F120" t="inlineStr">
        <is>
          <t>SKÅNE LÄN</t>
        </is>
      </c>
      <c r="G120" t="inlineStr">
        <is>
          <t>HÖRBY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46270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8310-2026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46064</v>
      </c>
      <c r="E122" s="1" t="n">
        <v>46270</v>
      </c>
      <c r="F122" t="inlineStr">
        <is>
          <t>SKÅNE LÄN</t>
        </is>
      </c>
      <c r="G122" t="inlineStr">
        <is>
          <t>HÖRBY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46064</v>
      </c>
      <c r="E123" s="1" t="n">
        <v>46270</v>
      </c>
      <c r="F123" t="inlineStr">
        <is>
          <t>SKÅNE LÄN</t>
        </is>
      </c>
      <c r="G123" t="inlineStr">
        <is>
          <t>HÖRBY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46270</v>
      </c>
      <c r="F124" t="inlineStr">
        <is>
          <t>SKÅNE LÄN</t>
        </is>
      </c>
      <c r="G124" t="inlineStr">
        <is>
          <t>HÖRBY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47609-2023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45203</v>
      </c>
      <c r="E125" s="1" t="n">
        <v>46270</v>
      </c>
      <c r="F125" t="inlineStr">
        <is>
          <t>SKÅNE LÄN</t>
        </is>
      </c>
      <c r="G125" t="inlineStr">
        <is>
          <t>HÖRBY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45979</v>
      </c>
      <c r="E126" s="1" t="n">
        <v>46270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46270</v>
      </c>
      <c r="F127" t="inlineStr">
        <is>
          <t>SKÅNE LÄN</t>
        </is>
      </c>
      <c r="G127" t="inlineStr">
        <is>
          <t>HÖRBY</t>
        </is>
      </c>
      <c r="H127" t="inlineStr">
        <is>
          <t>Kyrkan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46270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46270</v>
      </c>
      <c r="F129" t="inlineStr">
        <is>
          <t>SKÅNE LÄN</t>
        </is>
      </c>
      <c r="G129" t="inlineStr">
        <is>
          <t>HÖRBY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67426-2021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44523</v>
      </c>
      <c r="E130" s="1" t="n">
        <v>46270</v>
      </c>
      <c r="F130" t="inlineStr">
        <is>
          <t>SKÅNE LÄN</t>
        </is>
      </c>
      <c r="G130" t="inlineStr">
        <is>
          <t>HÖRBY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46270</v>
      </c>
      <c r="F131" t="inlineStr">
        <is>
          <t>SKÅNE LÄN</t>
        </is>
      </c>
      <c r="G131" t="inlineStr">
        <is>
          <t>HÖRBY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46270</v>
      </c>
      <c r="F132" t="inlineStr">
        <is>
          <t>SKÅNE LÄN</t>
        </is>
      </c>
      <c r="G132" t="inlineStr">
        <is>
          <t>HÖRBY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43685-2022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44837</v>
      </c>
      <c r="E133" s="1" t="n">
        <v>46270</v>
      </c>
      <c r="F133" t="inlineStr">
        <is>
          <t>SKÅNE LÄN</t>
        </is>
      </c>
      <c r="G133" t="inlineStr">
        <is>
          <t>HÖRBY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46270</v>
      </c>
      <c r="F134" t="inlineStr">
        <is>
          <t>SKÅNE LÄN</t>
        </is>
      </c>
      <c r="G134" t="inlineStr">
        <is>
          <t>HÖRBY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45330</v>
      </c>
      <c r="E135" s="1" t="n">
        <v>46270</v>
      </c>
      <c r="F135" t="inlineStr">
        <is>
          <t>SKÅNE LÄN</t>
        </is>
      </c>
      <c r="G135" t="inlineStr">
        <is>
          <t>HÖRBY</t>
        </is>
      </c>
      <c r="H135" t="inlineStr">
        <is>
          <t>Kyrkan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46270</v>
      </c>
      <c r="F136" t="inlineStr">
        <is>
          <t>SKÅNE LÄN</t>
        </is>
      </c>
      <c r="G136" t="inlineStr">
        <is>
          <t>HÖRBY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45763</v>
      </c>
      <c r="E137" s="1" t="n">
        <v>46270</v>
      </c>
      <c r="F137" t="inlineStr">
        <is>
          <t>SKÅNE LÄN</t>
        </is>
      </c>
      <c r="G137" t="inlineStr">
        <is>
          <t>HÖRBY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45680</v>
      </c>
      <c r="E138" s="1" t="n">
        <v>46270</v>
      </c>
      <c r="F138" t="inlineStr">
        <is>
          <t>SKÅNE LÄN</t>
        </is>
      </c>
      <c r="G138" t="inlineStr">
        <is>
          <t>HÖRBY</t>
        </is>
      </c>
      <c r="H138" t="inlineStr">
        <is>
          <t>Kyrkan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46099</v>
      </c>
      <c r="E139" s="1" t="n">
        <v>46270</v>
      </c>
      <c r="F139" t="inlineStr">
        <is>
          <t>SKÅNE LÄN</t>
        </is>
      </c>
      <c r="G139" t="inlineStr">
        <is>
          <t>HÖRBY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46270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46270</v>
      </c>
      <c r="F141" t="inlineStr">
        <is>
          <t>SKÅNE LÄN</t>
        </is>
      </c>
      <c r="G141" t="inlineStr">
        <is>
          <t>HÖRBY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46270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46270</v>
      </c>
      <c r="F143" t="inlineStr">
        <is>
          <t>SKÅNE LÄN</t>
        </is>
      </c>
      <c r="G143" t="inlineStr">
        <is>
          <t>HÖRBY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28527-2023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46270</v>
      </c>
      <c r="F144" t="inlineStr">
        <is>
          <t>SKÅNE LÄN</t>
        </is>
      </c>
      <c r="G144" t="inlineStr">
        <is>
          <t>HÖRBY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45236</v>
      </c>
      <c r="E145" s="1" t="n">
        <v>46270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46270</v>
      </c>
      <c r="F146" t="inlineStr">
        <is>
          <t>SKÅNE LÄN</t>
        </is>
      </c>
      <c r="G146" t="inlineStr">
        <is>
          <t>HÖRBY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46270</v>
      </c>
      <c r="F147" t="inlineStr">
        <is>
          <t>SKÅNE LÄN</t>
        </is>
      </c>
      <c r="G147" t="inlineStr">
        <is>
          <t>HÖRBY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46270</v>
      </c>
      <c r="F148" t="inlineStr">
        <is>
          <t>SKÅNE LÄN</t>
        </is>
      </c>
      <c r="G148" t="inlineStr">
        <is>
          <t>HÖRBY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46072</v>
      </c>
      <c r="E149" s="1" t="n">
        <v>46270</v>
      </c>
      <c r="F149" t="inlineStr">
        <is>
          <t>SKÅNE LÄN</t>
        </is>
      </c>
      <c r="G149" t="inlineStr">
        <is>
          <t>HÖRBY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46270</v>
      </c>
      <c r="F150" t="inlineStr">
        <is>
          <t>SKÅNE LÄN</t>
        </is>
      </c>
      <c r="G150" t="inlineStr">
        <is>
          <t>HÖRBY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46270</v>
      </c>
      <c r="F151" t="inlineStr">
        <is>
          <t>SKÅNE LÄN</t>
        </is>
      </c>
      <c r="G151" t="inlineStr">
        <is>
          <t>HÖRBY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45537</v>
      </c>
      <c r="E152" s="1" t="n">
        <v>46270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46270</v>
      </c>
      <c r="F153" t="inlineStr">
        <is>
          <t>SKÅNE LÄN</t>
        </is>
      </c>
      <c r="G153" t="inlineStr">
        <is>
          <t>HÖRBY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46270</v>
      </c>
      <c r="F154" t="inlineStr">
        <is>
          <t>SKÅNE LÄN</t>
        </is>
      </c>
      <c r="G154" t="inlineStr">
        <is>
          <t>HÖRBY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45261</v>
      </c>
      <c r="E155" s="1" t="n">
        <v>46270</v>
      </c>
      <c r="F155" t="inlineStr">
        <is>
          <t>SKÅNE LÄN</t>
        </is>
      </c>
      <c r="G155" t="inlineStr">
        <is>
          <t>HÖRBY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45572</v>
      </c>
      <c r="E156" s="1" t="n">
        <v>46270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46270</v>
      </c>
      <c r="F157" t="inlineStr">
        <is>
          <t>SKÅNE LÄN</t>
        </is>
      </c>
      <c r="G157" t="inlineStr">
        <is>
          <t>HÖRBY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43380-2022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44834</v>
      </c>
      <c r="E158" s="1" t="n">
        <v>46270</v>
      </c>
      <c r="F158" t="inlineStr">
        <is>
          <t>SKÅNE LÄN</t>
        </is>
      </c>
      <c r="G158" t="inlineStr">
        <is>
          <t>HÖRBY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46270</v>
      </c>
      <c r="F159" t="inlineStr">
        <is>
          <t>SKÅNE LÄN</t>
        </is>
      </c>
      <c r="G159" t="inlineStr">
        <is>
          <t>HÖRBY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46270</v>
      </c>
      <c r="F160" t="inlineStr">
        <is>
          <t>SKÅNE LÄN</t>
        </is>
      </c>
      <c r="G160" t="inlineStr">
        <is>
          <t>HÖRBY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65073-2023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45287</v>
      </c>
      <c r="E161" s="1" t="n">
        <v>46270</v>
      </c>
      <c r="F161" t="inlineStr">
        <is>
          <t>SKÅNE LÄN</t>
        </is>
      </c>
      <c r="G161" t="inlineStr">
        <is>
          <t>HÖRBY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46270</v>
      </c>
      <c r="F162" t="inlineStr">
        <is>
          <t>SKÅNE LÄN</t>
        </is>
      </c>
      <c r="G162" t="inlineStr">
        <is>
          <t>HÖRBY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46270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46270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24724-2024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45460</v>
      </c>
      <c r="E165" s="1" t="n">
        <v>46270</v>
      </c>
      <c r="F165" t="inlineStr">
        <is>
          <t>SKÅNE LÄN</t>
        </is>
      </c>
      <c r="G165" t="inlineStr">
        <is>
          <t>HÖRBY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58641-2023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45251</v>
      </c>
      <c r="E166" s="1" t="n">
        <v>46270</v>
      </c>
      <c r="F166" t="inlineStr">
        <is>
          <t>SKÅNE LÄN</t>
        </is>
      </c>
      <c r="G166" t="inlineStr">
        <is>
          <t>HÖRBY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45316</v>
      </c>
      <c r="E167" s="1" t="n">
        <v>46270</v>
      </c>
      <c r="F167" t="inlineStr">
        <is>
          <t>SKÅNE LÄN</t>
        </is>
      </c>
      <c r="G167" t="inlineStr">
        <is>
          <t>HÖRBY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46270</v>
      </c>
      <c r="F168" t="inlineStr">
        <is>
          <t>SKÅNE LÄN</t>
        </is>
      </c>
      <c r="G168" t="inlineStr">
        <is>
          <t>HÖRBY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46270</v>
      </c>
      <c r="F169" t="inlineStr">
        <is>
          <t>SKÅNE LÄN</t>
        </is>
      </c>
      <c r="G169" t="inlineStr">
        <is>
          <t>HÖRBY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44959</v>
      </c>
      <c r="E170" s="1" t="n">
        <v>46270</v>
      </c>
      <c r="F170" t="inlineStr">
        <is>
          <t>SKÅNE LÄN</t>
        </is>
      </c>
      <c r="G170" t="inlineStr">
        <is>
          <t>HÖRBY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46270</v>
      </c>
      <c r="F171" t="inlineStr">
        <is>
          <t>SKÅNE LÄN</t>
        </is>
      </c>
      <c r="G171" t="inlineStr">
        <is>
          <t>HÖRBY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46270</v>
      </c>
      <c r="F172" t="inlineStr">
        <is>
          <t>SKÅNE LÄN</t>
        </is>
      </c>
      <c r="G172" t="inlineStr">
        <is>
          <t>HÖRBY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34422-2024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45525</v>
      </c>
      <c r="E173" s="1" t="n">
        <v>46270</v>
      </c>
      <c r="F173" t="inlineStr">
        <is>
          <t>SKÅNE LÄN</t>
        </is>
      </c>
      <c r="G173" t="inlineStr">
        <is>
          <t>HÖRBY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46270</v>
      </c>
      <c r="F174" t="inlineStr">
        <is>
          <t>SKÅNE LÄN</t>
        </is>
      </c>
      <c r="G174" t="inlineStr">
        <is>
          <t>HÖRBY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46270</v>
      </c>
      <c r="F175" t="inlineStr">
        <is>
          <t>SKÅNE LÄN</t>
        </is>
      </c>
      <c r="G175" t="inlineStr">
        <is>
          <t>HÖRBY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45238</v>
      </c>
      <c r="E176" s="1" t="n">
        <v>46270</v>
      </c>
      <c r="F176" t="inlineStr">
        <is>
          <t>SKÅNE LÄN</t>
        </is>
      </c>
      <c r="G176" t="inlineStr">
        <is>
          <t>HÖRBY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46270</v>
      </c>
      <c r="F177" t="inlineStr">
        <is>
          <t>SKÅNE LÄN</t>
        </is>
      </c>
      <c r="G177" t="inlineStr">
        <is>
          <t>HÖRBY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19420-2022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44693</v>
      </c>
      <c r="E178" s="1" t="n">
        <v>46270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46270</v>
      </c>
      <c r="F179" t="inlineStr">
        <is>
          <t>SKÅNE LÄN</t>
        </is>
      </c>
      <c r="G179" t="inlineStr">
        <is>
          <t>HÖRBY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46270</v>
      </c>
      <c r="F180" t="inlineStr">
        <is>
          <t>SKÅNE LÄN</t>
        </is>
      </c>
      <c r="G180" t="inlineStr">
        <is>
          <t>HÖRBY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45762</v>
      </c>
      <c r="E181" s="1" t="n">
        <v>46270</v>
      </c>
      <c r="F181" t="inlineStr">
        <is>
          <t>SKÅNE LÄN</t>
        </is>
      </c>
      <c r="G181" t="inlineStr">
        <is>
          <t>HÖRBY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3177-2026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46041</v>
      </c>
      <c r="E182" s="1" t="n">
        <v>46270</v>
      </c>
      <c r="F182" t="inlineStr">
        <is>
          <t>SKÅNE LÄN</t>
        </is>
      </c>
      <c r="G182" t="inlineStr">
        <is>
          <t>HÖRBY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44928</v>
      </c>
      <c r="E183" s="1" t="n">
        <v>46270</v>
      </c>
      <c r="F183" t="inlineStr">
        <is>
          <t>SKÅNE LÄN</t>
        </is>
      </c>
      <c r="G183" t="inlineStr">
        <is>
          <t>HÖRBY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46270</v>
      </c>
      <c r="F184" t="inlineStr">
        <is>
          <t>SKÅNE LÄN</t>
        </is>
      </c>
      <c r="G184" t="inlineStr">
        <is>
          <t>HÖRBY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37724-2022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44810</v>
      </c>
      <c r="E185" s="1" t="n">
        <v>46270</v>
      </c>
      <c r="F185" t="inlineStr">
        <is>
          <t>SKÅNE LÄN</t>
        </is>
      </c>
      <c r="G185" t="inlineStr">
        <is>
          <t>HÖRBY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46270</v>
      </c>
      <c r="F186" t="inlineStr">
        <is>
          <t>SKÅNE LÄN</t>
        </is>
      </c>
      <c r="G186" t="inlineStr">
        <is>
          <t>HÖRBY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47637-2023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46270</v>
      </c>
      <c r="F187" t="inlineStr">
        <is>
          <t>SKÅNE LÄN</t>
        </is>
      </c>
      <c r="G187" t="inlineStr">
        <is>
          <t>HÖRBY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45521</v>
      </c>
      <c r="E188" s="1" t="n">
        <v>46270</v>
      </c>
      <c r="F188" t="inlineStr">
        <is>
          <t>SKÅNE LÄN</t>
        </is>
      </c>
      <c r="G188" t="inlineStr">
        <is>
          <t>HÖRBY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45680</v>
      </c>
      <c r="E189" s="1" t="n">
        <v>46270</v>
      </c>
      <c r="F189" t="inlineStr">
        <is>
          <t>SKÅNE LÄN</t>
        </is>
      </c>
      <c r="G189" t="inlineStr">
        <is>
          <t>HÖRBY</t>
        </is>
      </c>
      <c r="H189" t="inlineStr">
        <is>
          <t>Kyrkan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46270</v>
      </c>
      <c r="F190" t="inlineStr">
        <is>
          <t>SKÅNE LÄN</t>
        </is>
      </c>
      <c r="G190" t="inlineStr">
        <is>
          <t>HÖRBY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45405</v>
      </c>
      <c r="E191" s="1" t="n">
        <v>46270</v>
      </c>
      <c r="F191" t="inlineStr">
        <is>
          <t>SKÅNE LÄN</t>
        </is>
      </c>
      <c r="G191" t="inlineStr">
        <is>
          <t>HÖRBY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45405</v>
      </c>
      <c r="E192" s="1" t="n">
        <v>46270</v>
      </c>
      <c r="F192" t="inlineStr">
        <is>
          <t>SKÅNE LÄN</t>
        </is>
      </c>
      <c r="G192" t="inlineStr">
        <is>
          <t>HÖRBY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45502</v>
      </c>
      <c r="E193" s="1" t="n">
        <v>46270</v>
      </c>
      <c r="F193" t="inlineStr">
        <is>
          <t>SKÅNE LÄN</t>
        </is>
      </c>
      <c r="G193" t="inlineStr">
        <is>
          <t>HÖRBY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45391</v>
      </c>
      <c r="E194" s="1" t="n">
        <v>46270</v>
      </c>
      <c r="F194" t="inlineStr">
        <is>
          <t>SKÅNE LÄN</t>
        </is>
      </c>
      <c r="G194" t="inlineStr">
        <is>
          <t>HÖRBY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45988</v>
      </c>
      <c r="E195" s="1" t="n">
        <v>46270</v>
      </c>
      <c r="F195" t="inlineStr">
        <is>
          <t>SKÅNE LÄN</t>
        </is>
      </c>
      <c r="G195" t="inlineStr">
        <is>
          <t>HÖRBY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46270</v>
      </c>
      <c r="F196" t="inlineStr">
        <is>
          <t>SKÅNE LÄN</t>
        </is>
      </c>
      <c r="G196" t="inlineStr">
        <is>
          <t>HÖRBY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46076</v>
      </c>
      <c r="E197" s="1" t="n">
        <v>46270</v>
      </c>
      <c r="F197" t="inlineStr">
        <is>
          <t>SKÅNE LÄN</t>
        </is>
      </c>
      <c r="G197" t="inlineStr">
        <is>
          <t>HÖRBY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46270</v>
      </c>
      <c r="F198" t="inlineStr">
        <is>
          <t>SKÅNE LÄN</t>
        </is>
      </c>
      <c r="G198" t="inlineStr">
        <is>
          <t>HÖRBY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28746-2024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45478</v>
      </c>
      <c r="E199" s="1" t="n">
        <v>46270</v>
      </c>
      <c r="F199" t="inlineStr">
        <is>
          <t>SKÅNE LÄN</t>
        </is>
      </c>
      <c r="G199" t="inlineStr">
        <is>
          <t>HÖRBY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46270</v>
      </c>
      <c r="F200" t="inlineStr">
        <is>
          <t>SKÅNE LÄN</t>
        </is>
      </c>
      <c r="G200" t="inlineStr">
        <is>
          <t>HÖRBY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29138-2026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46202</v>
      </c>
      <c r="E201" s="1" t="n">
        <v>46270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46202</v>
      </c>
      <c r="E202" s="1" t="n">
        <v>46270</v>
      </c>
      <c r="F202" t="inlineStr">
        <is>
          <t>SKÅNE LÄN</t>
        </is>
      </c>
      <c r="G202" t="inlineStr">
        <is>
          <t>HÖRBY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29135-2026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46202</v>
      </c>
      <c r="E203" s="1" t="n">
        <v>46270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29137-2026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46202</v>
      </c>
      <c r="E204" s="1" t="n">
        <v>46270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6558-2025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45699</v>
      </c>
      <c r="E205" s="1" t="n">
        <v>46270</v>
      </c>
      <c r="F205" t="inlineStr">
        <is>
          <t>SKÅNE LÄN</t>
        </is>
      </c>
      <c r="G205" t="inlineStr">
        <is>
          <t>HÖRBY</t>
        </is>
      </c>
      <c r="H205" t="inlineStr">
        <is>
          <t>Kommuner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45079</v>
      </c>
      <c r="E206" s="1" t="n">
        <v>46270</v>
      </c>
      <c r="F206" t="inlineStr">
        <is>
          <t>SKÅNE LÄN</t>
        </is>
      </c>
      <c r="G206" t="inlineStr">
        <is>
          <t>HÖRBY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44833</v>
      </c>
      <c r="E207" s="1" t="n">
        <v>46270</v>
      </c>
      <c r="F207" t="inlineStr">
        <is>
          <t>SKÅNE LÄN</t>
        </is>
      </c>
      <c r="G207" t="inlineStr">
        <is>
          <t>HÖRBY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44814</v>
      </c>
      <c r="E208" s="1" t="n">
        <v>46270</v>
      </c>
      <c r="F208" t="inlineStr">
        <is>
          <t>SKÅNE LÄN</t>
        </is>
      </c>
      <c r="G208" t="inlineStr">
        <is>
          <t>HÖRBY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46270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52310-2023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45224</v>
      </c>
      <c r="E210" s="1" t="n">
        <v>46270</v>
      </c>
      <c r="F210" t="inlineStr">
        <is>
          <t>SKÅNE LÄN</t>
        </is>
      </c>
      <c r="G210" t="inlineStr">
        <is>
          <t>HÖRBY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46270</v>
      </c>
      <c r="F211" t="inlineStr">
        <is>
          <t>SKÅNE LÄN</t>
        </is>
      </c>
      <c r="G211" t="inlineStr">
        <is>
          <t>HÖRBY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23606-2026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46162</v>
      </c>
      <c r="E212" s="1" t="n">
        <v>46270</v>
      </c>
      <c r="F212" t="inlineStr">
        <is>
          <t>SKÅNE LÄN</t>
        </is>
      </c>
      <c r="G212" t="inlineStr">
        <is>
          <t>HÖRBY</t>
        </is>
      </c>
      <c r="I212" t="n">
        <v>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46258</v>
      </c>
      <c r="E213" s="1" t="n">
        <v>46270</v>
      </c>
      <c r="F213" t="inlineStr">
        <is>
          <t>SKÅNE LÄN</t>
        </is>
      </c>
      <c r="G213" t="inlineStr">
        <is>
          <t>HÖRBY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46270</v>
      </c>
      <c r="F214" t="inlineStr">
        <is>
          <t>SKÅNE LÄN</t>
        </is>
      </c>
      <c r="G214" t="inlineStr">
        <is>
          <t>HÖRBY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46213</v>
      </c>
      <c r="E215" s="1" t="n">
        <v>46270</v>
      </c>
      <c r="F215" t="inlineStr">
        <is>
          <t>SKÅNE LÄN</t>
        </is>
      </c>
      <c r="G215" t="inlineStr">
        <is>
          <t>HÖRBY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45970</v>
      </c>
      <c r="E216" s="1" t="n">
        <v>46270</v>
      </c>
      <c r="F216" t="inlineStr">
        <is>
          <t>SKÅNE LÄN</t>
        </is>
      </c>
      <c r="G216" t="inlineStr">
        <is>
          <t>HÖRBY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46218</v>
      </c>
      <c r="E217" s="1" t="n">
        <v>46270</v>
      </c>
      <c r="F217" t="inlineStr">
        <is>
          <t>SKÅNE LÄN</t>
        </is>
      </c>
      <c r="G217" t="inlineStr">
        <is>
          <t>HÖRBY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57017-2025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45978</v>
      </c>
      <c r="E218" s="1" t="n">
        <v>46270</v>
      </c>
      <c r="F218" t="inlineStr">
        <is>
          <t>SKÅNE LÄN</t>
        </is>
      </c>
      <c r="G218" t="inlineStr">
        <is>
          <t>HÖRBY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46270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46270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46270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46270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46270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46270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46270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46270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2026-09-05T02:06:23Z</dcterms:created>
  <dcterms:modified xmlns:dcterms="http://purl.org/dc/terms/" xmlns:xsi="http://www.w3.org/2001/XMLSchema-instance" xsi:type="dcterms:W3CDTF">2026-09-05T02:06:23Z</dcterms:modified>
</cp:coreProperties>
</file>