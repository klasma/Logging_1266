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46225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46225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46225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46225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46225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46225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46225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46225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1</v>
      </c>
      <c r="V12" s="2" t="inlineStr">
        <is>
          <t>Ask
Skogsknipprot
Blåsippa
Fläcknycklar
Grönvit nattviol</t>
        </is>
      </c>
      <c r="W12">
        <f>HYPERLINK("https://klasma.github.io/Logging_1266/artfynd/A 39855-2022 artfynd.xlsx", "A 39855-2022")</f>
        <v/>
      </c>
      <c r="X12">
        <f>HYPERLINK("https://klasma.github.io/Logging_1266/kartor/A 39855-2022 karta.png", "A 39855-2022")</f>
        <v/>
      </c>
      <c r="Y12">
        <f>HYPERLINK("https://klasma.github.io/Logging_1266/kartor_geotiff/A 39855-2022 georefererad karta.tif", "A 39855-2022")</f>
        <v/>
      </c>
      <c r="AA12">
        <f>HYPERLINK("https://klasma.github.io/Logging_1266/klagomål/A 39855-2022 FSC-klagomål.docx", "A 39855-2022")</f>
        <v/>
      </c>
      <c r="AB12">
        <f>HYPERLINK("https://klasma.github.io/Logging_1266/klagomålsmail/A 39855-2022 FSC-klagomål mail.docx", "A 39855-2022")</f>
        <v/>
      </c>
      <c r="AC12">
        <f>HYPERLINK("https://klasma.github.io/Logging_1266/tillsyn/A 39855-2022 tillsynsbegäran.docx", "A 39855-2022")</f>
        <v/>
      </c>
      <c r="AD12">
        <f>HYPERLINK("https://klasma.github.io/Logging_1266/tillsynsmail/A 39855-2022 tillsynsbegäran mail.docx", "A 39855-2022")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46225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46225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46225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46225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46225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46225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46225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46225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46225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46225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46225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46225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46225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46225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16519-2026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46225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16519-2026 artfynd.xlsx", "A 16519-2026")</f>
        <v/>
      </c>
      <c r="X27">
        <f>HYPERLINK("https://klasma.github.io/Logging_1266/kartor/A 16519-2026 karta.png", "A 16519-2026")</f>
        <v/>
      </c>
      <c r="Y27">
        <f>HYPERLINK("https://klasma.github.io/Logging_1266/kartor_geotiff/A 16519-2026 georefererad karta.tif", "A 16519-2026")</f>
        <v/>
      </c>
      <c r="AA27">
        <f>HYPERLINK("https://klasma.github.io/Logging_1266/klagomål/A 16519-2026 FSC-klagomål.docx", "A 16519-2026")</f>
        <v/>
      </c>
      <c r="AB27">
        <f>HYPERLINK("https://klasma.github.io/Logging_1266/klagomålsmail/A 16519-2026 FSC-klagomål mail.docx", "A 16519-2026")</f>
        <v/>
      </c>
      <c r="AC27">
        <f>HYPERLINK("https://klasma.github.io/Logging_1266/tillsyn/A 16519-2026 tillsynsbegäran.docx", "A 16519-2026")</f>
        <v/>
      </c>
      <c r="AD27">
        <f>HYPERLINK("https://klasma.github.io/Logging_1266/tillsynsmail/A 16519-2026 tillsynsbegäran mail.docx", "A 16519-2026")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46225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46225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31284-2026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46218</v>
      </c>
      <c r="E30" s="1" t="n">
        <v>46225</v>
      </c>
      <c r="F30" t="inlineStr">
        <is>
          <t>SKÅNE LÄN</t>
        </is>
      </c>
      <c r="G30" t="inlineStr">
        <is>
          <t>HÖRBY</t>
        </is>
      </c>
      <c r="I30" t="n">
        <v>6.8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groda</t>
        </is>
      </c>
      <c r="W30">
        <f>HYPERLINK("https://klasma.github.io/Logging_1266/artfynd/A 31284-2026 artfynd.xlsx", "A 31284-2026")</f>
        <v/>
      </c>
      <c r="X30">
        <f>HYPERLINK("https://klasma.github.io/Logging_1266/kartor/A 31284-2026 karta.png", "A 31284-2026")</f>
        <v/>
      </c>
      <c r="Y30">
        <f>HYPERLINK("https://klasma.github.io/Logging_1266/kartor_geotiff/A 31284-2026 georefererad karta.tif", "A 31284-2026")</f>
        <v/>
      </c>
      <c r="AA30">
        <f>HYPERLINK("https://klasma.github.io/Logging_1266/klagomål/A 31284-2026 FSC-klagomål.docx", "A 31284-2026")</f>
        <v/>
      </c>
      <c r="AB30">
        <f>HYPERLINK("https://klasma.github.io/Logging_1266/klagomålsmail/A 31284-2026 FSC-klagomål mail.docx", "A 31284-2026")</f>
        <v/>
      </c>
      <c r="AC30">
        <f>HYPERLINK("https://klasma.github.io/Logging_1266/tillsyn/A 31284-2026 tillsynsbegäran.docx", "A 31284-2026")</f>
        <v/>
      </c>
      <c r="AD30">
        <f>HYPERLINK("https://klasma.github.io/Logging_1266/tillsynsmail/A 31284-2026 tillsynsbegäran mail.docx", "A 31284-2026")</f>
        <v/>
      </c>
    </row>
    <row r="31" ht="15" customHeight="1">
      <c r="A31" t="inlineStr">
        <is>
          <t>A 30165-2026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46225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30165-2026 artfynd.xlsx", "A 30165-2026")</f>
        <v/>
      </c>
      <c r="X31">
        <f>HYPERLINK("https://klasma.github.io/Logging_1266/kartor/A 30165-2026 karta.png", "A 30165-2026")</f>
        <v/>
      </c>
      <c r="Y31">
        <f>HYPERLINK("https://klasma.github.io/Logging_1266/kartor_geotiff/A 30165-2026 georefererad karta.tif", "A 30165-2026")</f>
        <v/>
      </c>
      <c r="AA31">
        <f>HYPERLINK("https://klasma.github.io/Logging_1266/klagomål/A 30165-2026 FSC-klagomål.docx", "A 30165-2026")</f>
        <v/>
      </c>
      <c r="AB31">
        <f>HYPERLINK("https://klasma.github.io/Logging_1266/klagomålsmail/A 30165-2026 FSC-klagomål mail.docx", "A 30165-2026")</f>
        <v/>
      </c>
      <c r="AC31">
        <f>HYPERLINK("https://klasma.github.io/Logging_1266/tillsyn/A 30165-2026 tillsynsbegäran.docx", "A 30165-2026")</f>
        <v/>
      </c>
      <c r="AD31">
        <f>HYPERLINK("https://klasma.github.io/Logging_1266/tillsynsmail/A 30165-2026 tillsynsbegäran mail.docx", "A 30165-2026")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46225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Ekticka</t>
        </is>
      </c>
      <c r="W32">
        <f>HYPERLINK("https://klasma.github.io/Logging_1266/artfynd/A 29129-2026 artfynd.xlsx", "A 29129-2026")</f>
        <v/>
      </c>
      <c r="X32">
        <f>HYPERLINK("https://klasma.github.io/Logging_1266/kartor/A 29129-2026 karta.png", "A 29129-2026")</f>
        <v/>
      </c>
      <c r="Y32">
        <f>HYPERLINK("https://klasma.github.io/Logging_1266/kartor_geotiff/A 29129-2026 georefererad karta.tif", "A 29129-2026")</f>
        <v/>
      </c>
      <c r="AA32">
        <f>HYPERLINK("https://klasma.github.io/Logging_1266/klagomål/A 29129-2026 FSC-klagomål.docx", "A 29129-2026")</f>
        <v/>
      </c>
      <c r="AB32">
        <f>HYPERLINK("https://klasma.github.io/Logging_1266/klagomålsmail/A 29129-2026 FSC-klagomål mail.docx", "A 29129-2026")</f>
        <v/>
      </c>
      <c r="AC32">
        <f>HYPERLINK("https://klasma.github.io/Logging_1266/tillsyn/A 29129-2026 tillsynsbegäran.docx", "A 29129-2026")</f>
        <v/>
      </c>
      <c r="AD32">
        <f>HYPERLINK("https://klasma.github.io/Logging_1266/tillsynsmail/A 29129-2026 tillsynsbegäran mail.docx", "A 29129-2026")</f>
        <v/>
      </c>
    </row>
    <row r="33" ht="15" customHeight="1">
      <c r="A33" t="inlineStr">
        <is>
          <t>A 25833-2024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46225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HYPERLINK("https://klasma.github.io/Logging_1266/artfynd/A 25833-2024 artfynd.xlsx", "A 25833-2024")</f>
        <v/>
      </c>
      <c r="X33">
        <f>HYPERLINK("https://klasma.github.io/Logging_1266/kartor/A 25833-2024 karta.png", "A 25833-2024")</f>
        <v/>
      </c>
      <c r="Y33">
        <f>HYPERLINK("https://klasma.github.io/Logging_1266/kartor_geotiff/A 25833-2024 georefererad karta.tif", "A 25833-2024")</f>
        <v/>
      </c>
      <c r="AA33">
        <f>HYPERLINK("https://klasma.github.io/Logging_1266/klagomål/A 25833-2024 FSC-klagomål.docx", "A 25833-2024")</f>
        <v/>
      </c>
      <c r="AB33">
        <f>HYPERLINK("https://klasma.github.io/Logging_1266/klagomålsmail/A 25833-2024 FSC-klagomål mail.docx", "A 25833-2024")</f>
        <v/>
      </c>
      <c r="AC33">
        <f>HYPERLINK("https://klasma.github.io/Logging_1266/tillsyn/A 25833-2024 tillsynsbegäran.docx", "A 25833-2024")</f>
        <v/>
      </c>
      <c r="AD33">
        <f>HYPERLINK("https://klasma.github.io/Logging_1266/tillsynsmail/A 25833-2024 tillsynsbegäran mail.docx", "A 25833-2024")</f>
        <v/>
      </c>
    </row>
    <row r="34" ht="15" customHeight="1">
      <c r="A34" t="inlineStr">
        <is>
          <t>A 40376-2023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46225</v>
      </c>
      <c r="F34" t="inlineStr">
        <is>
          <t>SKÅNE LÄN</t>
        </is>
      </c>
      <c r="G34" t="inlineStr">
        <is>
          <t>HÖRBY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HYPERLINK("https://klasma.github.io/Logging_1266/artfynd/A 40376-2023 artfynd.xlsx", "A 40376-2023")</f>
        <v/>
      </c>
      <c r="X34">
        <f>HYPERLINK("https://klasma.github.io/Logging_1266/kartor/A 40376-2023 karta.png", "A 40376-2023")</f>
        <v/>
      </c>
      <c r="Y34">
        <f>HYPERLINK("https://klasma.github.io/Logging_1266/kartor_geotiff/A 40376-2023 georefererad karta.tif", "A 40376-2023")</f>
        <v/>
      </c>
      <c r="AA34">
        <f>HYPERLINK("https://klasma.github.io/Logging_1266/klagomål/A 40376-2023 FSC-klagomål.docx", "A 40376-2023")</f>
        <v/>
      </c>
      <c r="AB34">
        <f>HYPERLINK("https://klasma.github.io/Logging_1266/klagomålsmail/A 40376-2023 FSC-klagomål mail.docx", "A 40376-2023")</f>
        <v/>
      </c>
      <c r="AC34">
        <f>HYPERLINK("https://klasma.github.io/Logging_1266/tillsyn/A 40376-2023 tillsynsbegäran.docx", "A 40376-2023")</f>
        <v/>
      </c>
      <c r="AD34">
        <f>HYPERLINK("https://klasma.github.io/Logging_1266/tillsynsmail/A 40376-2023 tillsynsbegäran mail.docx", "A 40376-2023")</f>
        <v/>
      </c>
      <c r="AE34">
        <f>HYPERLINK("https://klasma.github.io/Logging_1266/fåglar/A 40376-2023 prioriterade fågelarter.docx", "A 40376-2023")</f>
        <v/>
      </c>
    </row>
    <row r="35" ht="15" customHeight="1">
      <c r="A35" t="inlineStr">
        <is>
          <t>A 31115-2024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46225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HYPERLINK("https://klasma.github.io/Logging_1266/artfynd/A 31115-2024 artfynd.xlsx", "A 31115-2024")</f>
        <v/>
      </c>
      <c r="X35">
        <f>HYPERLINK("https://klasma.github.io/Logging_1266/kartor/A 31115-2024 karta.png", "A 31115-2024")</f>
        <v/>
      </c>
      <c r="Y35">
        <f>HYPERLINK("https://klasma.github.io/Logging_1266/kartor_geotiff/A 31115-2024 georefererad karta.tif", "A 31115-2024")</f>
        <v/>
      </c>
      <c r="AA35">
        <f>HYPERLINK("https://klasma.github.io/Logging_1266/klagomål/A 31115-2024 FSC-klagomål.docx", "A 31115-2024")</f>
        <v/>
      </c>
      <c r="AB35">
        <f>HYPERLINK("https://klasma.github.io/Logging_1266/klagomålsmail/A 31115-2024 FSC-klagomål mail.docx", "A 31115-2024")</f>
        <v/>
      </c>
      <c r="AC35">
        <f>HYPERLINK("https://klasma.github.io/Logging_1266/tillsyn/A 31115-2024 tillsynsbegäran.docx", "A 31115-2024")</f>
        <v/>
      </c>
      <c r="AD35">
        <f>HYPERLINK("https://klasma.github.io/Logging_1266/tillsynsmail/A 31115-2024 tillsynsbegäran mail.docx", "A 31115-2024")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46225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46225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46225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46225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46225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46225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46225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46225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46225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46225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46225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46225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46225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46225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46225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46225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46225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46225</v>
      </c>
      <c r="F53" t="inlineStr">
        <is>
          <t>SKÅNE LÄN</t>
        </is>
      </c>
      <c r="G53" t="inlineStr">
        <is>
          <t>HÖRBY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46225</v>
      </c>
      <c r="F54" t="inlineStr">
        <is>
          <t>SKÅNE LÄN</t>
        </is>
      </c>
      <c r="G54" t="inlineStr">
        <is>
          <t>HÖRBY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46225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46225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44894</v>
      </c>
      <c r="E57" s="1" t="n">
        <v>46225</v>
      </c>
      <c r="F57" t="inlineStr">
        <is>
          <t>SKÅNE LÄN</t>
        </is>
      </c>
      <c r="G57" t="inlineStr">
        <is>
          <t>HÖRBY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46225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46225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36689-2024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45537</v>
      </c>
      <c r="E60" s="1" t="n">
        <v>46225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46225</v>
      </c>
      <c r="F61" t="inlineStr">
        <is>
          <t>SKÅNE LÄN</t>
        </is>
      </c>
      <c r="G61" t="inlineStr">
        <is>
          <t>HÖRBY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46225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43711-2024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45569</v>
      </c>
      <c r="E63" s="1" t="n">
        <v>46225</v>
      </c>
      <c r="F63" t="inlineStr">
        <is>
          <t>SKÅNE LÄN</t>
        </is>
      </c>
      <c r="G63" t="inlineStr">
        <is>
          <t>HÖRBY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46225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46225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46225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46029</v>
      </c>
      <c r="E67" s="1" t="n">
        <v>46225</v>
      </c>
      <c r="F67" t="inlineStr">
        <is>
          <t>SKÅNE LÄN</t>
        </is>
      </c>
      <c r="G67" t="inlineStr">
        <is>
          <t>HÖRBY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46225</v>
      </c>
      <c r="F68" t="inlineStr">
        <is>
          <t>SKÅNE LÄN</t>
        </is>
      </c>
      <c r="G68" t="inlineStr">
        <is>
          <t>HÖRBY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46225</v>
      </c>
      <c r="F69" t="inlineStr">
        <is>
          <t>SKÅNE LÄN</t>
        </is>
      </c>
      <c r="G69" t="inlineStr">
        <is>
          <t>HÖRBY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46225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46225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37082-2023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45155</v>
      </c>
      <c r="E72" s="1" t="n">
        <v>46225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46225</v>
      </c>
      <c r="F73" t="inlineStr">
        <is>
          <t>SKÅNE LÄN</t>
        </is>
      </c>
      <c r="G73" t="inlineStr">
        <is>
          <t>HÖRBY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46225</v>
      </c>
      <c r="F74" t="inlineStr">
        <is>
          <t>SKÅNE LÄN</t>
        </is>
      </c>
      <c r="G74" t="inlineStr">
        <is>
          <t>HÖRBY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46050</v>
      </c>
      <c r="E75" s="1" t="n">
        <v>46225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46225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46225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46225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45315</v>
      </c>
      <c r="E79" s="1" t="n">
        <v>46225</v>
      </c>
      <c r="F79" t="inlineStr">
        <is>
          <t>SKÅNE LÄN</t>
        </is>
      </c>
      <c r="G79" t="inlineStr">
        <is>
          <t>HÖRBY</t>
        </is>
      </c>
      <c r="H79" t="inlineStr">
        <is>
          <t>Kyrkan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46225</v>
      </c>
      <c r="F80" t="inlineStr">
        <is>
          <t>SKÅNE LÄN</t>
        </is>
      </c>
      <c r="G80" t="inlineStr">
        <is>
          <t>HÖRBY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46225</v>
      </c>
      <c r="F81" t="inlineStr">
        <is>
          <t>SKÅNE LÄN</t>
        </is>
      </c>
      <c r="G81" t="inlineStr">
        <is>
          <t>HÖRBY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46225</v>
      </c>
      <c r="F82" t="inlineStr">
        <is>
          <t>SKÅNE LÄN</t>
        </is>
      </c>
      <c r="G82" t="inlineStr">
        <is>
          <t>HÖRBY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46225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46225</v>
      </c>
      <c r="F84" t="inlineStr">
        <is>
          <t>SKÅNE LÄN</t>
        </is>
      </c>
      <c r="G84" t="inlineStr">
        <is>
          <t>HÖRBY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37756-2024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46225</v>
      </c>
      <c r="F85" t="inlineStr">
        <is>
          <t>SKÅNE LÄN</t>
        </is>
      </c>
      <c r="G85" t="inlineStr">
        <is>
          <t>HÖRBY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46225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46074</v>
      </c>
      <c r="E87" s="1" t="n">
        <v>46225</v>
      </c>
      <c r="F87" t="inlineStr">
        <is>
          <t>SKÅNE LÄN</t>
        </is>
      </c>
      <c r="G87" t="inlineStr">
        <is>
          <t>HÖRBY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46225</v>
      </c>
      <c r="F88" t="inlineStr">
        <is>
          <t>SKÅNE LÄN</t>
        </is>
      </c>
      <c r="G88" t="inlineStr">
        <is>
          <t>HÖRBY</t>
        </is>
      </c>
      <c r="H88" t="inlineStr">
        <is>
          <t>Kyrkan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46225</v>
      </c>
      <c r="F89" t="inlineStr">
        <is>
          <t>SKÅNE LÄN</t>
        </is>
      </c>
      <c r="G89" t="inlineStr">
        <is>
          <t>HÖRBY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46225</v>
      </c>
      <c r="F90" t="inlineStr">
        <is>
          <t>SKÅNE LÄN</t>
        </is>
      </c>
      <c r="G90" t="inlineStr">
        <is>
          <t>HÖRBY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46225</v>
      </c>
      <c r="F91" t="inlineStr">
        <is>
          <t>SKÅNE LÄN</t>
        </is>
      </c>
      <c r="G91" t="inlineStr">
        <is>
          <t>HÖRBY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14307-2026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46099</v>
      </c>
      <c r="E92" s="1" t="n">
        <v>46225</v>
      </c>
      <c r="F92" t="inlineStr">
        <is>
          <t>SKÅNE LÄN</t>
        </is>
      </c>
      <c r="G92" t="inlineStr">
        <is>
          <t>HÖRBY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46225</v>
      </c>
      <c r="F93" t="inlineStr">
        <is>
          <t>SKÅNE LÄN</t>
        </is>
      </c>
      <c r="G93" t="inlineStr">
        <is>
          <t>HÖRBY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46225</v>
      </c>
      <c r="F94" t="inlineStr">
        <is>
          <t>SKÅNE LÄN</t>
        </is>
      </c>
      <c r="G94" t="inlineStr">
        <is>
          <t>HÖRBY</t>
        </is>
      </c>
      <c r="I94" t="n">
        <v>18.7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46225</v>
      </c>
      <c r="F95" t="inlineStr">
        <is>
          <t>SKÅNE LÄN</t>
        </is>
      </c>
      <c r="G95" t="inlineStr">
        <is>
          <t>HÖRBY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45882</v>
      </c>
      <c r="E96" s="1" t="n">
        <v>46225</v>
      </c>
      <c r="F96" t="inlineStr">
        <is>
          <t>SKÅNE LÄN</t>
        </is>
      </c>
      <c r="G96" t="inlineStr">
        <is>
          <t>HÖRBY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46225</v>
      </c>
      <c r="F97" t="inlineStr">
        <is>
          <t>SKÅNE LÄN</t>
        </is>
      </c>
      <c r="G97" t="inlineStr">
        <is>
          <t>HÖRBY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28785-2023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45104</v>
      </c>
      <c r="E98" s="1" t="n">
        <v>46225</v>
      </c>
      <c r="F98" t="inlineStr">
        <is>
          <t>SKÅNE LÄN</t>
        </is>
      </c>
      <c r="G98" t="inlineStr">
        <is>
          <t>HÖRBY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46072</v>
      </c>
      <c r="E99" s="1" t="n">
        <v>46225</v>
      </c>
      <c r="F99" t="inlineStr">
        <is>
          <t>SKÅNE LÄN</t>
        </is>
      </c>
      <c r="G99" t="inlineStr">
        <is>
          <t>HÖRBY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46225</v>
      </c>
      <c r="F100" t="inlineStr">
        <is>
          <t>SKÅNE LÄN</t>
        </is>
      </c>
      <c r="G100" t="inlineStr">
        <is>
          <t>HÖRBY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46225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46225</v>
      </c>
      <c r="F102" t="inlineStr">
        <is>
          <t>SKÅNE LÄN</t>
        </is>
      </c>
      <c r="G102" t="inlineStr">
        <is>
          <t>HÖRBY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51757-2025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45951</v>
      </c>
      <c r="E103" s="1" t="n">
        <v>46225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46225</v>
      </c>
      <c r="F104" t="inlineStr">
        <is>
          <t>SKÅNE LÄN</t>
        </is>
      </c>
      <c r="G104" t="inlineStr">
        <is>
          <t>HÖRBY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46225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46225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45405</v>
      </c>
      <c r="E107" s="1" t="n">
        <v>46225</v>
      </c>
      <c r="F107" t="inlineStr">
        <is>
          <t>SKÅNE LÄN</t>
        </is>
      </c>
      <c r="G107" t="inlineStr">
        <is>
          <t>HÖRBY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46225</v>
      </c>
      <c r="F108" t="inlineStr">
        <is>
          <t>SKÅNE LÄN</t>
        </is>
      </c>
      <c r="G108" t="inlineStr">
        <is>
          <t>HÖRBY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46225</v>
      </c>
      <c r="F109" t="inlineStr">
        <is>
          <t>SKÅNE LÄN</t>
        </is>
      </c>
      <c r="G109" t="inlineStr">
        <is>
          <t>HÖRBY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46225</v>
      </c>
      <c r="F110" t="inlineStr">
        <is>
          <t>SKÅNE LÄN</t>
        </is>
      </c>
      <c r="G110" t="inlineStr">
        <is>
          <t>HÖRBY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46225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46225</v>
      </c>
      <c r="F112" t="inlineStr">
        <is>
          <t>SKÅNE LÄN</t>
        </is>
      </c>
      <c r="G112" t="inlineStr">
        <is>
          <t>HÖRBY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55306-2025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45970</v>
      </c>
      <c r="E113" s="1" t="n">
        <v>46225</v>
      </c>
      <c r="F113" t="inlineStr">
        <is>
          <t>SKÅNE LÄN</t>
        </is>
      </c>
      <c r="G113" t="inlineStr">
        <is>
          <t>HÖRBY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46225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45572</v>
      </c>
      <c r="E115" s="1" t="n">
        <v>46225</v>
      </c>
      <c r="F115" t="inlineStr">
        <is>
          <t>SKÅNE LÄN</t>
        </is>
      </c>
      <c r="G115" t="inlineStr">
        <is>
          <t>HÖRBY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46225</v>
      </c>
      <c r="F116" t="inlineStr">
        <is>
          <t>SKÅNE LÄN</t>
        </is>
      </c>
      <c r="G116" t="inlineStr">
        <is>
          <t>HÖRBY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46225</v>
      </c>
      <c r="F117" t="inlineStr">
        <is>
          <t>SKÅNE LÄN</t>
        </is>
      </c>
      <c r="G117" t="inlineStr">
        <is>
          <t>HÖRBY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45989</v>
      </c>
      <c r="E118" s="1" t="n">
        <v>46225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45287</v>
      </c>
      <c r="E119" s="1" t="n">
        <v>46225</v>
      </c>
      <c r="F119" t="inlineStr">
        <is>
          <t>SKÅNE LÄN</t>
        </is>
      </c>
      <c r="G119" t="inlineStr">
        <is>
          <t>HÖRBY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46225</v>
      </c>
      <c r="F120" t="inlineStr">
        <is>
          <t>SKÅNE LÄN</t>
        </is>
      </c>
      <c r="G120" t="inlineStr">
        <is>
          <t>HÖRBY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46225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46225</v>
      </c>
      <c r="F122" t="inlineStr">
        <is>
          <t>SKÅNE LÄN</t>
        </is>
      </c>
      <c r="G122" t="inlineStr">
        <is>
          <t>HÖRBY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46225</v>
      </c>
      <c r="F123" t="inlineStr">
        <is>
          <t>SKÅNE LÄN</t>
        </is>
      </c>
      <c r="G123" t="inlineStr">
        <is>
          <t>HÖRBY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46225</v>
      </c>
      <c r="F124" t="inlineStr">
        <is>
          <t>SKÅNE LÄN</t>
        </is>
      </c>
      <c r="G124" t="inlineStr">
        <is>
          <t>HÖRBY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58641-2023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45251</v>
      </c>
      <c r="E125" s="1" t="n">
        <v>46225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46225</v>
      </c>
      <c r="F126" t="inlineStr">
        <is>
          <t>SKÅNE LÄN</t>
        </is>
      </c>
      <c r="G126" t="inlineStr">
        <is>
          <t>HÖRBY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45317</v>
      </c>
      <c r="E127" s="1" t="n">
        <v>46225</v>
      </c>
      <c r="F127" t="inlineStr">
        <is>
          <t>SKÅNE LÄN</t>
        </is>
      </c>
      <c r="G127" t="inlineStr">
        <is>
          <t>HÖRBY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45300</v>
      </c>
      <c r="E128" s="1" t="n">
        <v>46225</v>
      </c>
      <c r="F128" t="inlineStr">
        <is>
          <t>SKÅNE LÄN</t>
        </is>
      </c>
      <c r="G128" t="inlineStr">
        <is>
          <t>HÖRBY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46225</v>
      </c>
      <c r="F129" t="inlineStr">
        <is>
          <t>SKÅNE LÄN</t>
        </is>
      </c>
      <c r="G129" t="inlineStr">
        <is>
          <t>HÖRBY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2816-2025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45677</v>
      </c>
      <c r="E130" s="1" t="n">
        <v>46225</v>
      </c>
      <c r="F130" t="inlineStr">
        <is>
          <t>SKÅNE LÄN</t>
        </is>
      </c>
      <c r="G130" t="inlineStr">
        <is>
          <t>HÖRBY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45750</v>
      </c>
      <c r="E131" s="1" t="n">
        <v>46225</v>
      </c>
      <c r="F131" t="inlineStr">
        <is>
          <t>SKÅNE LÄN</t>
        </is>
      </c>
      <c r="G131" t="inlineStr">
        <is>
          <t>HÖRBY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46202</v>
      </c>
      <c r="E132" s="1" t="n">
        <v>46225</v>
      </c>
      <c r="F132" t="inlineStr">
        <is>
          <t>SKÅNE LÄN</t>
        </is>
      </c>
      <c r="G132" t="inlineStr">
        <is>
          <t>HÖRBY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29137-2026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46202</v>
      </c>
      <c r="E133" s="1" t="n">
        <v>46225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29138-2026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46202</v>
      </c>
      <c r="E134" s="1" t="n">
        <v>46225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45525</v>
      </c>
      <c r="E135" s="1" t="n">
        <v>46225</v>
      </c>
      <c r="F135" t="inlineStr">
        <is>
          <t>SKÅNE LÄN</t>
        </is>
      </c>
      <c r="G135" t="inlineStr">
        <is>
          <t>HÖRBY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29135-2026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46202</v>
      </c>
      <c r="E136" s="1" t="n">
        <v>46225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46225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46225</v>
      </c>
      <c r="F138" t="inlineStr">
        <is>
          <t>SKÅNE LÄN</t>
        </is>
      </c>
      <c r="G138" t="inlineStr">
        <is>
          <t>HÖRBY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46225</v>
      </c>
      <c r="F139" t="inlineStr">
        <is>
          <t>SKÅNE LÄN</t>
        </is>
      </c>
      <c r="G139" t="inlineStr">
        <is>
          <t>HÖRBY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46225</v>
      </c>
      <c r="F140" t="inlineStr">
        <is>
          <t>SKÅNE LÄN</t>
        </is>
      </c>
      <c r="G140" t="inlineStr">
        <is>
          <t>HÖRBY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46225</v>
      </c>
      <c r="F141" t="inlineStr">
        <is>
          <t>SKÅNE LÄN</t>
        </is>
      </c>
      <c r="G141" t="inlineStr">
        <is>
          <t>HÖRBY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67426-2021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46225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46225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46225</v>
      </c>
      <c r="F144" t="inlineStr">
        <is>
          <t>SKÅNE LÄN</t>
        </is>
      </c>
      <c r="G144" t="inlineStr">
        <is>
          <t>HÖRBY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46225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46225</v>
      </c>
      <c r="F146" t="inlineStr">
        <is>
          <t>SKÅNE LÄN</t>
        </is>
      </c>
      <c r="G146" t="inlineStr">
        <is>
          <t>HÖRBY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46225</v>
      </c>
      <c r="F147" t="inlineStr">
        <is>
          <t>SKÅNE LÄN</t>
        </is>
      </c>
      <c r="G147" t="inlineStr">
        <is>
          <t>HÖRBY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46225</v>
      </c>
      <c r="F148" t="inlineStr">
        <is>
          <t>SKÅNE LÄN</t>
        </is>
      </c>
      <c r="G148" t="inlineStr">
        <is>
          <t>HÖRBY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45970</v>
      </c>
      <c r="E149" s="1" t="n">
        <v>46225</v>
      </c>
      <c r="F149" t="inlineStr">
        <is>
          <t>SKÅNE LÄN</t>
        </is>
      </c>
      <c r="G149" t="inlineStr">
        <is>
          <t>HÖRBY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46225</v>
      </c>
      <c r="F150" t="inlineStr">
        <is>
          <t>SKÅNE LÄN</t>
        </is>
      </c>
      <c r="G150" t="inlineStr">
        <is>
          <t>HÖRBY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46225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46225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46225</v>
      </c>
      <c r="F153" t="inlineStr">
        <is>
          <t>SKÅNE LÄN</t>
        </is>
      </c>
      <c r="G153" t="inlineStr">
        <is>
          <t>HÖRBY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46225</v>
      </c>
      <c r="F154" t="inlineStr">
        <is>
          <t>SKÅNE LÄN</t>
        </is>
      </c>
      <c r="G154" t="inlineStr">
        <is>
          <t>HÖRBY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46225</v>
      </c>
      <c r="F155" t="inlineStr">
        <is>
          <t>SKÅNE LÄN</t>
        </is>
      </c>
      <c r="G155" t="inlineStr">
        <is>
          <t>HÖRBY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46225</v>
      </c>
      <c r="F156" t="inlineStr">
        <is>
          <t>SKÅNE LÄN</t>
        </is>
      </c>
      <c r="G156" t="inlineStr">
        <is>
          <t>HÖRBY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46225</v>
      </c>
      <c r="F157" t="inlineStr">
        <is>
          <t>SKÅNE LÄN</t>
        </is>
      </c>
      <c r="G157" t="inlineStr">
        <is>
          <t>HÖRBY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8084-2022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46225</v>
      </c>
      <c r="F158" t="inlineStr">
        <is>
          <t>SKÅNE LÄN</t>
        </is>
      </c>
      <c r="G158" t="inlineStr">
        <is>
          <t>HÖRBY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31286-2026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46225</v>
      </c>
      <c r="F159" t="inlineStr">
        <is>
          <t>SKÅNE LÄN</t>
        </is>
      </c>
      <c r="G159" t="inlineStr">
        <is>
          <t>HÖRBY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46225</v>
      </c>
      <c r="F160" t="inlineStr">
        <is>
          <t>SKÅNE LÄN</t>
        </is>
      </c>
      <c r="G160" t="inlineStr">
        <is>
          <t>HÖRBY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46225</v>
      </c>
      <c r="F161" t="inlineStr">
        <is>
          <t>SKÅNE LÄN</t>
        </is>
      </c>
      <c r="G161" t="inlineStr">
        <is>
          <t>HÖRBY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46041</v>
      </c>
      <c r="E162" s="1" t="n">
        <v>46225</v>
      </c>
      <c r="F162" t="inlineStr">
        <is>
          <t>SKÅNE LÄN</t>
        </is>
      </c>
      <c r="G162" t="inlineStr">
        <is>
          <t>HÖRBY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23606-2026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46162</v>
      </c>
      <c r="E163" s="1" t="n">
        <v>46225</v>
      </c>
      <c r="F163" t="inlineStr">
        <is>
          <t>SKÅNE LÄN</t>
        </is>
      </c>
      <c r="G163" t="inlineStr">
        <is>
          <t>HÖRBY</t>
        </is>
      </c>
      <c r="I163" t="n">
        <v>9.4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46076</v>
      </c>
      <c r="E164" s="1" t="n">
        <v>46225</v>
      </c>
      <c r="F164" t="inlineStr">
        <is>
          <t>SKÅNE LÄN</t>
        </is>
      </c>
      <c r="G164" t="inlineStr">
        <is>
          <t>HÖRBY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45391</v>
      </c>
      <c r="E165" s="1" t="n">
        <v>46225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45342</v>
      </c>
      <c r="E166" s="1" t="n">
        <v>46225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46225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45034</v>
      </c>
      <c r="E168" s="1" t="n">
        <v>46225</v>
      </c>
      <c r="F168" t="inlineStr">
        <is>
          <t>SKÅNE LÄN</t>
        </is>
      </c>
      <c r="G168" t="inlineStr">
        <is>
          <t>HÖRBY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46225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46225</v>
      </c>
      <c r="F170" t="inlineStr">
        <is>
          <t>SKÅNE LÄN</t>
        </is>
      </c>
      <c r="G170" t="inlineStr">
        <is>
          <t>HÖRBY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45616</v>
      </c>
      <c r="E171" s="1" t="n">
        <v>46225</v>
      </c>
      <c r="F171" t="inlineStr">
        <is>
          <t>SKÅNE LÄN</t>
        </is>
      </c>
      <c r="G171" t="inlineStr">
        <is>
          <t>HÖRBY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46225</v>
      </c>
      <c r="F172" t="inlineStr">
        <is>
          <t>SKÅNE LÄN</t>
        </is>
      </c>
      <c r="G172" t="inlineStr">
        <is>
          <t>HÖRBY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46225</v>
      </c>
      <c r="F173" t="inlineStr">
        <is>
          <t>SKÅNE LÄN</t>
        </is>
      </c>
      <c r="G173" t="inlineStr">
        <is>
          <t>HÖRBY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45435</v>
      </c>
      <c r="E174" s="1" t="n">
        <v>46225</v>
      </c>
      <c r="F174" t="inlineStr">
        <is>
          <t>SKÅNE LÄN</t>
        </is>
      </c>
      <c r="G174" t="inlineStr">
        <is>
          <t>HÖRBY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45316</v>
      </c>
      <c r="E175" s="1" t="n">
        <v>46225</v>
      </c>
      <c r="F175" t="inlineStr">
        <is>
          <t>SKÅNE LÄN</t>
        </is>
      </c>
      <c r="G175" t="inlineStr">
        <is>
          <t>HÖRBY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45190</v>
      </c>
      <c r="E176" s="1" t="n">
        <v>46225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46225</v>
      </c>
      <c r="F177" t="inlineStr">
        <is>
          <t>SKÅNE LÄN</t>
        </is>
      </c>
      <c r="G177" t="inlineStr">
        <is>
          <t>HÖRBY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46225</v>
      </c>
      <c r="F178" t="inlineStr">
        <is>
          <t>SKÅNE LÄN</t>
        </is>
      </c>
      <c r="G178" t="inlineStr">
        <is>
          <t>HÖRBY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46225</v>
      </c>
      <c r="F179" t="inlineStr">
        <is>
          <t>SKÅNE LÄN</t>
        </is>
      </c>
      <c r="G179" t="inlineStr">
        <is>
          <t>HÖRBY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46225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45680</v>
      </c>
      <c r="E181" s="1" t="n">
        <v>46225</v>
      </c>
      <c r="F181" t="inlineStr">
        <is>
          <t>SKÅNE LÄN</t>
        </is>
      </c>
      <c r="G181" t="inlineStr">
        <is>
          <t>HÖRBY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45208</v>
      </c>
      <c r="E182" s="1" t="n">
        <v>46225</v>
      </c>
      <c r="F182" t="inlineStr">
        <is>
          <t>SKÅNE LÄN</t>
        </is>
      </c>
      <c r="G182" t="inlineStr">
        <is>
          <t>HÖRBY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46225</v>
      </c>
      <c r="F183" t="inlineStr">
        <is>
          <t>SKÅNE LÄN</t>
        </is>
      </c>
      <c r="G183" t="inlineStr">
        <is>
          <t>HÖRBY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45521</v>
      </c>
      <c r="E184" s="1" t="n">
        <v>46225</v>
      </c>
      <c r="F184" t="inlineStr">
        <is>
          <t>SKÅNE LÄN</t>
        </is>
      </c>
      <c r="G184" t="inlineStr">
        <is>
          <t>HÖRBY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45250</v>
      </c>
      <c r="E185" s="1" t="n">
        <v>46225</v>
      </c>
      <c r="F185" t="inlineStr">
        <is>
          <t>SKÅNE LÄN</t>
        </is>
      </c>
      <c r="G185" t="inlineStr">
        <is>
          <t>HÖRBY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46225</v>
      </c>
      <c r="F186" t="inlineStr">
        <is>
          <t>SKÅNE LÄN</t>
        </is>
      </c>
      <c r="G186" t="inlineStr">
        <is>
          <t>HÖRBY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46225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45680</v>
      </c>
      <c r="E188" s="1" t="n">
        <v>46225</v>
      </c>
      <c r="F188" t="inlineStr">
        <is>
          <t>SKÅNE LÄN</t>
        </is>
      </c>
      <c r="G188" t="inlineStr">
        <is>
          <t>HÖRBY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46225</v>
      </c>
      <c r="F189" t="inlineStr">
        <is>
          <t>SKÅNE LÄN</t>
        </is>
      </c>
      <c r="G189" t="inlineStr">
        <is>
          <t>HÖRBY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24670-2024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45460</v>
      </c>
      <c r="E190" s="1" t="n">
        <v>46225</v>
      </c>
      <c r="F190" t="inlineStr">
        <is>
          <t>SKÅNE LÄN</t>
        </is>
      </c>
      <c r="G190" t="inlineStr">
        <is>
          <t>HÖRBY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46225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46225</v>
      </c>
      <c r="F192" t="inlineStr">
        <is>
          <t>SKÅNE LÄN</t>
        </is>
      </c>
      <c r="G192" t="inlineStr">
        <is>
          <t>HÖRBY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46225</v>
      </c>
      <c r="F193" t="inlineStr">
        <is>
          <t>SKÅNE LÄN</t>
        </is>
      </c>
      <c r="G193" t="inlineStr">
        <is>
          <t>HÖRBY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44814</v>
      </c>
      <c r="E194" s="1" t="n">
        <v>46225</v>
      </c>
      <c r="F194" t="inlineStr">
        <is>
          <t>SKÅNE LÄN</t>
        </is>
      </c>
      <c r="G194" t="inlineStr">
        <is>
          <t>HÖRBY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46225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45079</v>
      </c>
      <c r="E196" s="1" t="n">
        <v>46225</v>
      </c>
      <c r="F196" t="inlineStr">
        <is>
          <t>SKÅNE LÄN</t>
        </is>
      </c>
      <c r="G196" t="inlineStr">
        <is>
          <t>HÖRBY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46225</v>
      </c>
      <c r="F197" t="inlineStr">
        <is>
          <t>SKÅNE LÄN</t>
        </is>
      </c>
      <c r="G197" t="inlineStr">
        <is>
          <t>HÖRBY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46225</v>
      </c>
      <c r="F198" t="inlineStr">
        <is>
          <t>SKÅNE LÄN</t>
        </is>
      </c>
      <c r="G198" t="inlineStr">
        <is>
          <t>HÖRBY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46225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46225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43685-2022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44837</v>
      </c>
      <c r="E201" s="1" t="n">
        <v>46225</v>
      </c>
      <c r="F201" t="inlineStr">
        <is>
          <t>SKÅNE LÄN</t>
        </is>
      </c>
      <c r="G201" t="inlineStr">
        <is>
          <t>HÖRBY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24724-2024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45460</v>
      </c>
      <c r="E202" s="1" t="n">
        <v>46225</v>
      </c>
      <c r="F202" t="inlineStr">
        <is>
          <t>SKÅNE LÄN</t>
        </is>
      </c>
      <c r="G202" t="inlineStr">
        <is>
          <t>HÖRBY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6558-2025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45699</v>
      </c>
      <c r="E203" s="1" t="n">
        <v>46225</v>
      </c>
      <c r="F203" t="inlineStr">
        <is>
          <t>SKÅNE LÄN</t>
        </is>
      </c>
      <c r="G203" t="inlineStr">
        <is>
          <t>HÖRBY</t>
        </is>
      </c>
      <c r="H203" t="inlineStr">
        <is>
          <t>Kommuner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46225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44775</v>
      </c>
      <c r="E205" s="1" t="n">
        <v>46225</v>
      </c>
      <c r="F205" t="inlineStr">
        <is>
          <t>SKÅNE LÄN</t>
        </is>
      </c>
      <c r="G205" t="inlineStr">
        <is>
          <t>HÖRBY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46225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46225</v>
      </c>
      <c r="F207" t="inlineStr">
        <is>
          <t>SKÅNE LÄN</t>
        </is>
      </c>
      <c r="G207" t="inlineStr">
        <is>
          <t>HÖRBY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44946</v>
      </c>
      <c r="E208" s="1" t="n">
        <v>46225</v>
      </c>
      <c r="F208" t="inlineStr">
        <is>
          <t>SKÅNE LÄN</t>
        </is>
      </c>
      <c r="G208" t="inlineStr">
        <is>
          <t>HÖRBY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46225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48427-2022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44858</v>
      </c>
      <c r="E210" s="1" t="n">
        <v>46225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45688</v>
      </c>
      <c r="E211" s="1" t="n">
        <v>46225</v>
      </c>
      <c r="F211" t="inlineStr">
        <is>
          <t>SKÅNE LÄN</t>
        </is>
      </c>
      <c r="G211" t="inlineStr">
        <is>
          <t>HÖRBY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45128</v>
      </c>
      <c r="E212" s="1" t="n">
        <v>46225</v>
      </c>
      <c r="F212" t="inlineStr">
        <is>
          <t>SKÅNE LÄN</t>
        </is>
      </c>
      <c r="G212" t="inlineStr">
        <is>
          <t>HÖRBY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46225</v>
      </c>
      <c r="F213" t="inlineStr">
        <is>
          <t>SKÅNE LÄN</t>
        </is>
      </c>
      <c r="G213" t="inlineStr">
        <is>
          <t>HÖRBY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46225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46225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46225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44693</v>
      </c>
      <c r="E217" s="1" t="n">
        <v>46225</v>
      </c>
      <c r="F217" t="inlineStr">
        <is>
          <t>SKÅNE LÄN</t>
        </is>
      </c>
      <c r="G217" t="inlineStr">
        <is>
          <t>HÖRBY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46225</v>
      </c>
      <c r="F218" t="inlineStr">
        <is>
          <t>SKÅNE LÄN</t>
        </is>
      </c>
      <c r="G218" t="inlineStr">
        <is>
          <t>HÖRBY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46225</v>
      </c>
      <c r="F219" t="inlineStr">
        <is>
          <t>SKÅNE LÄN</t>
        </is>
      </c>
      <c r="G219" t="inlineStr">
        <is>
          <t>HÖRBY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46225</v>
      </c>
      <c r="F220" t="inlineStr">
        <is>
          <t>SKÅNE LÄN</t>
        </is>
      </c>
      <c r="G220" t="inlineStr">
        <is>
          <t>HÖRBY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46225</v>
      </c>
      <c r="F221" t="inlineStr">
        <is>
          <t>SKÅNE LÄN</t>
        </is>
      </c>
      <c r="G221" t="inlineStr">
        <is>
          <t>HÖRBY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45754</v>
      </c>
      <c r="E222" s="1" t="n">
        <v>46225</v>
      </c>
      <c r="F222" t="inlineStr">
        <is>
          <t>SKÅNE LÄN</t>
        </is>
      </c>
      <c r="G222" t="inlineStr">
        <is>
          <t>HÖRBY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46225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46225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46225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46225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46225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46225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46225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46225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2026-07-22T01:37:03Z</dcterms:created>
  <dcterms:modified xmlns:dcterms="http://purl.org/dc/terms/" xmlns:xsi="http://www.w3.org/2001/XMLSchema-instance" xsi:type="dcterms:W3CDTF">2026-07-22T01:37:03Z</dcterms:modified>
</cp:coreProperties>
</file>