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46315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46315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46315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46315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46315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46315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46315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46315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46315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46315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46315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46315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46315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46315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46315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46315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46315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46315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46315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46315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46315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46315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46315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46315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25833-2024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45463</v>
      </c>
      <c r="E26" s="1" t="n">
        <v>46315</v>
      </c>
      <c r="F26" t="inlineStr">
        <is>
          <t>SKÅNE LÄN</t>
        </is>
      </c>
      <c r="G26" t="inlineStr">
        <is>
          <t>HÖRBY</t>
        </is>
      </c>
      <c r="I26" t="n">
        <v>1.4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</t>
        </is>
      </c>
      <c r="W26">
        <f>HYPERLINK("https://klasma.github.io/Logging_1266/artfynd/A 25833-2024 artfynd.xlsx", "A 25833-2024")</f>
        <v/>
      </c>
      <c r="X26">
        <f>HYPERLINK("https://klasma.github.io/Logging_1266/kartor/A 25833-2024 karta.png", "A 25833-2024")</f>
        <v/>
      </c>
      <c r="Y26">
        <f>HYPERLINK("https://klasma.github.io/Logging_1266/kartor_geotiff/A 25833-2024 georefererad karta.tif", "A 25833-2024")</f>
        <v/>
      </c>
      <c r="AA26">
        <f>HYPERLINK("https://klasma.github.io/Logging_1266/klagomål/A 25833-2024 FSC-klagomål.docx", "A 25833-2024")</f>
        <v/>
      </c>
      <c r="AB26">
        <f>HYPERLINK("https://klasma.github.io/Logging_1266/klagomålsmail/A 25833-2024 FSC-klagomål mail.docx", "A 25833-2024")</f>
        <v/>
      </c>
      <c r="AC26">
        <f>HYPERLINK("https://klasma.github.io/Logging_1266/tillsyn/A 25833-2024 tillsynsbegäran.docx", "A 25833-2024")</f>
        <v/>
      </c>
      <c r="AD26">
        <f>HYPERLINK("https://klasma.github.io/Logging_1266/tillsynsmail/A 25833-2024 tillsynsbegäran mail.docx", "A 25833-2024")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46315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46315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46315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46315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46315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21713-2025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45783</v>
      </c>
      <c r="E32" s="1" t="n">
        <v>46315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HYPERLINK("https://klasma.github.io/Logging_1266/artfynd/A 21713-2025 artfynd.xlsx", "A 21713-2025")</f>
        <v/>
      </c>
      <c r="X32">
        <f>HYPERLINK("https://klasma.github.io/Logging_1266/kartor/A 21713-2025 karta.png", "A 21713-2025")</f>
        <v/>
      </c>
      <c r="Y32">
        <f>HYPERLINK("https://klasma.github.io/Logging_1266/kartor_geotiff/A 21713-2025 georefererad karta.tif", "A 21713-2025")</f>
        <v/>
      </c>
      <c r="AA32">
        <f>HYPERLINK("https://klasma.github.io/Logging_1266/klagomål/A 21713-2025 FSC-klagomål.docx", "A 21713-2025")</f>
        <v/>
      </c>
      <c r="AB32">
        <f>HYPERLINK("https://klasma.github.io/Logging_1266/klagomålsmail/A 21713-2025 FSC-klagomål mail.docx", "A 21713-2025")</f>
        <v/>
      </c>
      <c r="AC32">
        <f>HYPERLINK("https://klasma.github.io/Logging_1266/tillsyn/A 21713-2025 tillsynsbegäran.docx", "A 21713-2025")</f>
        <v/>
      </c>
      <c r="AD32">
        <f>HYPERLINK("https://klasma.github.io/Logging_1266/tillsynsmail/A 21713-2025 tillsynsbegäran mail.docx", "A 21713-2025")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46315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46315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46315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46315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46315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46315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46315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46315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46315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46315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46315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46315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46315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46315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46315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46315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46315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46315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5163-2024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46315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45203</v>
      </c>
      <c r="E52" s="1" t="n">
        <v>46315</v>
      </c>
      <c r="F52" t="inlineStr">
        <is>
          <t>SKÅNE LÄN</t>
        </is>
      </c>
      <c r="G52" t="inlineStr">
        <is>
          <t>HÖRBY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46315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46315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45128</v>
      </c>
      <c r="E55" s="1" t="n">
        <v>46315</v>
      </c>
      <c r="F55" t="inlineStr">
        <is>
          <t>SKÅNE LÄN</t>
        </is>
      </c>
      <c r="G55" t="inlineStr">
        <is>
          <t>HÖRBY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46315</v>
      </c>
      <c r="F56" t="inlineStr">
        <is>
          <t>SKÅNE LÄN</t>
        </is>
      </c>
      <c r="G56" t="inlineStr">
        <is>
          <t>HÖRBY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36689-2024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46315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9.5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46315</v>
      </c>
      <c r="F58" t="inlineStr">
        <is>
          <t>SKÅNE LÄN</t>
        </is>
      </c>
      <c r="G58" t="inlineStr">
        <is>
          <t>HÖRBY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46315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46315</v>
      </c>
      <c r="F60" t="inlineStr">
        <is>
          <t>SKÅNE LÄN</t>
        </is>
      </c>
      <c r="G60" t="inlineStr">
        <is>
          <t>HÖRBY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45155</v>
      </c>
      <c r="E61" s="1" t="n">
        <v>46315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44944</v>
      </c>
      <c r="E62" s="1" t="n">
        <v>46315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28785-2023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45104</v>
      </c>
      <c r="E63" s="1" t="n">
        <v>46315</v>
      </c>
      <c r="F63" t="inlineStr">
        <is>
          <t>SKÅNE LÄN</t>
        </is>
      </c>
      <c r="G63" t="inlineStr">
        <is>
          <t>HÖRBY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46315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15998-2024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45405</v>
      </c>
      <c r="E65" s="1" t="n">
        <v>46315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46315</v>
      </c>
      <c r="F66" t="inlineStr">
        <is>
          <t>SKÅNE LÄN</t>
        </is>
      </c>
      <c r="G66" t="inlineStr">
        <is>
          <t>HÖRBY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46315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46315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46315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45390</v>
      </c>
      <c r="E70" s="1" t="n">
        <v>46315</v>
      </c>
      <c r="F70" t="inlineStr">
        <is>
          <t>SKÅNE LÄN</t>
        </is>
      </c>
      <c r="G70" t="inlineStr">
        <is>
          <t>HÖRBY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45238</v>
      </c>
      <c r="E71" s="1" t="n">
        <v>46315</v>
      </c>
      <c r="F71" t="inlineStr">
        <is>
          <t>SKÅNE LÄN</t>
        </is>
      </c>
      <c r="G71" t="inlineStr">
        <is>
          <t>HÖRBY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45572</v>
      </c>
      <c r="E72" s="1" t="n">
        <v>46315</v>
      </c>
      <c r="F72" t="inlineStr">
        <is>
          <t>SKÅNE LÄN</t>
        </is>
      </c>
      <c r="G72" t="inlineStr">
        <is>
          <t>HÖRBY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46315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58641-2023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45251</v>
      </c>
      <c r="E74" s="1" t="n">
        <v>46315</v>
      </c>
      <c r="F74" t="inlineStr">
        <is>
          <t>SKÅNE LÄN</t>
        </is>
      </c>
      <c r="G74" t="inlineStr">
        <is>
          <t>HÖRBY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45317</v>
      </c>
      <c r="E75" s="1" t="n">
        <v>46315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46315</v>
      </c>
      <c r="F76" t="inlineStr">
        <is>
          <t>SKÅNE LÄN</t>
        </is>
      </c>
      <c r="G76" t="inlineStr">
        <is>
          <t>HÖRBY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46315</v>
      </c>
      <c r="F77" t="inlineStr">
        <is>
          <t>SKÅNE LÄN</t>
        </is>
      </c>
      <c r="G77" t="inlineStr">
        <is>
          <t>HÖRBY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45287</v>
      </c>
      <c r="E78" s="1" t="n">
        <v>46315</v>
      </c>
      <c r="F78" t="inlineStr">
        <is>
          <t>SKÅNE LÄN</t>
        </is>
      </c>
      <c r="G78" t="inlineStr">
        <is>
          <t>HÖRBY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46315</v>
      </c>
      <c r="F79" t="inlineStr">
        <is>
          <t>SKÅNE LÄN</t>
        </is>
      </c>
      <c r="G79" t="inlineStr">
        <is>
          <t>HÖRBY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2816-2025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45677</v>
      </c>
      <c r="E80" s="1" t="n">
        <v>46315</v>
      </c>
      <c r="F80" t="inlineStr">
        <is>
          <t>SKÅNE LÄN</t>
        </is>
      </c>
      <c r="G80" t="inlineStr">
        <is>
          <t>HÖRBY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46315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34422-2024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45525</v>
      </c>
      <c r="E82" s="1" t="n">
        <v>46315</v>
      </c>
      <c r="F82" t="inlineStr">
        <is>
          <t>SKÅNE LÄN</t>
        </is>
      </c>
      <c r="G82" t="inlineStr">
        <is>
          <t>HÖRBY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46315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46315</v>
      </c>
      <c r="F84" t="inlineStr">
        <is>
          <t>SKÅNE LÄN</t>
        </is>
      </c>
      <c r="G84" t="inlineStr">
        <is>
          <t>HÖRBY</t>
        </is>
      </c>
      <c r="H84" t="inlineStr">
        <is>
          <t>Sveaskog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45187</v>
      </c>
      <c r="E85" s="1" t="n">
        <v>46315</v>
      </c>
      <c r="F85" t="inlineStr">
        <is>
          <t>SKÅNE LÄN</t>
        </is>
      </c>
      <c r="G85" t="inlineStr">
        <is>
          <t>HÖRBY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43939-2023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46315</v>
      </c>
      <c r="F86" t="inlineStr">
        <is>
          <t>SKÅNE LÄN</t>
        </is>
      </c>
      <c r="G86" t="inlineStr">
        <is>
          <t>HÖRBY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67426-2021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46315</v>
      </c>
      <c r="F87" t="inlineStr">
        <is>
          <t>SKÅNE LÄN</t>
        </is>
      </c>
      <c r="G87" t="inlineStr">
        <is>
          <t>HÖRBY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45680</v>
      </c>
      <c r="E88" s="1" t="n">
        <v>46315</v>
      </c>
      <c r="F88" t="inlineStr">
        <is>
          <t>SKÅNE LÄN</t>
        </is>
      </c>
      <c r="G88" t="inlineStr">
        <is>
          <t>HÖRBY</t>
        </is>
      </c>
      <c r="H88" t="inlineStr">
        <is>
          <t>Kyrkan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45706</v>
      </c>
      <c r="E89" s="1" t="n">
        <v>46315</v>
      </c>
      <c r="F89" t="inlineStr">
        <is>
          <t>SKÅNE LÄN</t>
        </is>
      </c>
      <c r="G89" t="inlineStr">
        <is>
          <t>HÖRBY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46315</v>
      </c>
      <c r="F90" t="inlineStr">
        <is>
          <t>SKÅNE LÄN</t>
        </is>
      </c>
      <c r="G90" t="inlineStr">
        <is>
          <t>HÖRBY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45043</v>
      </c>
      <c r="E91" s="1" t="n">
        <v>46315</v>
      </c>
      <c r="F91" t="inlineStr">
        <is>
          <t>SKÅNE LÄN</t>
        </is>
      </c>
      <c r="G91" t="inlineStr">
        <is>
          <t>HÖRBY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46315</v>
      </c>
      <c r="F92" t="inlineStr">
        <is>
          <t>SKÅNE LÄN</t>
        </is>
      </c>
      <c r="G92" t="inlineStr">
        <is>
          <t>HÖRBY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45538</v>
      </c>
      <c r="E93" s="1" t="n">
        <v>46315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46315</v>
      </c>
      <c r="F94" t="inlineStr">
        <is>
          <t>SKÅNE LÄN</t>
        </is>
      </c>
      <c r="G94" t="inlineStr">
        <is>
          <t>HÖRBY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46315</v>
      </c>
      <c r="F95" t="inlineStr">
        <is>
          <t>SKÅNE LÄN</t>
        </is>
      </c>
      <c r="G95" t="inlineStr">
        <is>
          <t>HÖRBY</t>
        </is>
      </c>
      <c r="I95" t="n">
        <v>18.7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46315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51757-2025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45951</v>
      </c>
      <c r="E97" s="1" t="n">
        <v>46315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46315</v>
      </c>
      <c r="F98" t="inlineStr">
        <is>
          <t>SKÅNE LÄN</t>
        </is>
      </c>
      <c r="G98" t="inlineStr">
        <is>
          <t>HÖRBY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46315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46315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45966</v>
      </c>
      <c r="E101" s="1" t="n">
        <v>46315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46315</v>
      </c>
      <c r="F102" t="inlineStr">
        <is>
          <t>SKÅNE LÄN</t>
        </is>
      </c>
      <c r="G102" t="inlineStr">
        <is>
          <t>HÖRBY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46315</v>
      </c>
      <c r="F103" t="inlineStr">
        <is>
          <t>SKÅNE LÄN</t>
        </is>
      </c>
      <c r="G103" t="inlineStr">
        <is>
          <t>HÖRBY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55306-2025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45970</v>
      </c>
      <c r="E104" s="1" t="n">
        <v>46315</v>
      </c>
      <c r="F104" t="inlineStr">
        <is>
          <t>SKÅNE LÄN</t>
        </is>
      </c>
      <c r="G104" t="inlineStr">
        <is>
          <t>HÖRBY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46315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46315</v>
      </c>
      <c r="F106" t="inlineStr">
        <is>
          <t>SKÅNE LÄN</t>
        </is>
      </c>
      <c r="G106" t="inlineStr">
        <is>
          <t>HÖRBY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46315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46315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45989</v>
      </c>
      <c r="E109" s="1" t="n">
        <v>46315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46315</v>
      </c>
      <c r="F110" t="inlineStr">
        <is>
          <t>SKÅNE LÄN</t>
        </is>
      </c>
      <c r="G110" t="inlineStr">
        <is>
          <t>HÖRBY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45034</v>
      </c>
      <c r="E111" s="1" t="n">
        <v>46315</v>
      </c>
      <c r="F111" t="inlineStr">
        <is>
          <t>SKÅNE LÄN</t>
        </is>
      </c>
      <c r="G111" t="inlineStr">
        <is>
          <t>HÖRBY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46315</v>
      </c>
      <c r="F112" t="inlineStr">
        <is>
          <t>SKÅNE LÄN</t>
        </is>
      </c>
      <c r="G112" t="inlineStr">
        <is>
          <t>HÖRBY</t>
        </is>
      </c>
      <c r="H112" t="inlineStr">
        <is>
          <t>Kyrkan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45117</v>
      </c>
      <c r="E113" s="1" t="n">
        <v>46315</v>
      </c>
      <c r="F113" t="inlineStr">
        <is>
          <t>SKÅNE LÄN</t>
        </is>
      </c>
      <c r="G113" t="inlineStr">
        <is>
          <t>HÖRBY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46315</v>
      </c>
      <c r="F114" t="inlineStr">
        <is>
          <t>SKÅNE LÄN</t>
        </is>
      </c>
      <c r="G114" t="inlineStr">
        <is>
          <t>HÖRBY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46051</v>
      </c>
      <c r="E115" s="1" t="n">
        <v>46315</v>
      </c>
      <c r="F115" t="inlineStr">
        <is>
          <t>SKÅNE LÄN</t>
        </is>
      </c>
      <c r="G115" t="inlineStr">
        <is>
          <t>HÖRBY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45762</v>
      </c>
      <c r="E116" s="1" t="n">
        <v>46315</v>
      </c>
      <c r="F116" t="inlineStr">
        <is>
          <t>SKÅNE LÄN</t>
        </is>
      </c>
      <c r="G116" t="inlineStr">
        <is>
          <t>HÖRBY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45616</v>
      </c>
      <c r="E117" s="1" t="n">
        <v>46315</v>
      </c>
      <c r="F117" t="inlineStr">
        <is>
          <t>SKÅNE LÄN</t>
        </is>
      </c>
      <c r="G117" t="inlineStr">
        <is>
          <t>HÖRBY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46315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46315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46315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46315</v>
      </c>
      <c r="F121" t="inlineStr">
        <is>
          <t>SKÅNE LÄN</t>
        </is>
      </c>
      <c r="G121" t="inlineStr">
        <is>
          <t>HÖRBY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46315</v>
      </c>
      <c r="F122" t="inlineStr">
        <is>
          <t>SKÅNE LÄN</t>
        </is>
      </c>
      <c r="G122" t="inlineStr">
        <is>
          <t>HÖRBY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46315</v>
      </c>
      <c r="F123" t="inlineStr">
        <is>
          <t>SKÅNE LÄN</t>
        </is>
      </c>
      <c r="G123" t="inlineStr">
        <is>
          <t>HÖRBY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46315</v>
      </c>
      <c r="F124" t="inlineStr">
        <is>
          <t>SKÅNE LÄN</t>
        </is>
      </c>
      <c r="G124" t="inlineStr">
        <is>
          <t>HÖRBY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45435</v>
      </c>
      <c r="E125" s="1" t="n">
        <v>46315</v>
      </c>
      <c r="F125" t="inlineStr">
        <is>
          <t>SKÅNE LÄN</t>
        </is>
      </c>
      <c r="G125" t="inlineStr">
        <is>
          <t>HÖRBY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46315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45316</v>
      </c>
      <c r="E127" s="1" t="n">
        <v>46315</v>
      </c>
      <c r="F127" t="inlineStr">
        <is>
          <t>SKÅNE LÄN</t>
        </is>
      </c>
      <c r="G127" t="inlineStr">
        <is>
          <t>HÖRBY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46315</v>
      </c>
      <c r="F128" t="inlineStr">
        <is>
          <t>SKÅNE LÄN</t>
        </is>
      </c>
      <c r="G128" t="inlineStr">
        <is>
          <t>HÖRBY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46315</v>
      </c>
      <c r="F129" t="inlineStr">
        <is>
          <t>SKÅNE LÄN</t>
        </is>
      </c>
      <c r="G129" t="inlineStr">
        <is>
          <t>HÖRBY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46315</v>
      </c>
      <c r="F130" t="inlineStr">
        <is>
          <t>SKÅNE LÄN</t>
        </is>
      </c>
      <c r="G130" t="inlineStr">
        <is>
          <t>HÖRBY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46050</v>
      </c>
      <c r="E131" s="1" t="n">
        <v>46315</v>
      </c>
      <c r="F131" t="inlineStr">
        <is>
          <t>SKÅNE LÄN</t>
        </is>
      </c>
      <c r="G131" t="inlineStr">
        <is>
          <t>HÖRBY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46041</v>
      </c>
      <c r="E132" s="1" t="n">
        <v>46315</v>
      </c>
      <c r="F132" t="inlineStr">
        <is>
          <t>SKÅNE LÄN</t>
        </is>
      </c>
      <c r="G132" t="inlineStr">
        <is>
          <t>HÖRBY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46315</v>
      </c>
      <c r="F133" t="inlineStr">
        <is>
          <t>SKÅNE LÄN</t>
        </is>
      </c>
      <c r="G133" t="inlineStr">
        <is>
          <t>HÖRBY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46315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46315</v>
      </c>
      <c r="F135" t="inlineStr">
        <is>
          <t>SKÅNE LÄN</t>
        </is>
      </c>
      <c r="G135" t="inlineStr">
        <is>
          <t>HÖRBY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46315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46315</v>
      </c>
      <c r="F137" t="inlineStr">
        <is>
          <t>SKÅNE LÄN</t>
        </is>
      </c>
      <c r="G137" t="inlineStr">
        <is>
          <t>HÖRBY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45521</v>
      </c>
      <c r="E138" s="1" t="n">
        <v>46315</v>
      </c>
      <c r="F138" t="inlineStr">
        <is>
          <t>SKÅNE LÄN</t>
        </is>
      </c>
      <c r="G138" t="inlineStr">
        <is>
          <t>HÖRBY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46064</v>
      </c>
      <c r="E139" s="1" t="n">
        <v>46315</v>
      </c>
      <c r="F139" t="inlineStr">
        <is>
          <t>SKÅNE LÄN</t>
        </is>
      </c>
      <c r="G139" t="inlineStr">
        <is>
          <t>HÖRBY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46064</v>
      </c>
      <c r="E140" s="1" t="n">
        <v>46315</v>
      </c>
      <c r="F140" t="inlineStr">
        <is>
          <t>SKÅNE LÄN</t>
        </is>
      </c>
      <c r="G140" t="inlineStr">
        <is>
          <t>HÖRBY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8259-2026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46064</v>
      </c>
      <c r="E141" s="1" t="n">
        <v>46315</v>
      </c>
      <c r="F141" t="inlineStr">
        <is>
          <t>SKÅNE LÄN</t>
        </is>
      </c>
      <c r="G141" t="inlineStr">
        <is>
          <t>HÖRBY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46315</v>
      </c>
      <c r="F142" t="inlineStr">
        <is>
          <t>SKÅNE LÄN</t>
        </is>
      </c>
      <c r="G142" t="inlineStr">
        <is>
          <t>HÖRBY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39298-2023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45166</v>
      </c>
      <c r="E143" s="1" t="n">
        <v>46315</v>
      </c>
      <c r="F143" t="inlineStr">
        <is>
          <t>SKÅNE LÄN</t>
        </is>
      </c>
      <c r="G143" t="inlineStr">
        <is>
          <t>HÖRBY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45105</v>
      </c>
      <c r="E144" s="1" t="n">
        <v>46315</v>
      </c>
      <c r="F144" t="inlineStr">
        <is>
          <t>SKÅNE LÄN</t>
        </is>
      </c>
      <c r="G144" t="inlineStr">
        <is>
          <t>HÖRBY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46315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10731-2026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46315</v>
      </c>
      <c r="F146" t="inlineStr">
        <is>
          <t>SKÅNE LÄN</t>
        </is>
      </c>
      <c r="G146" t="inlineStr">
        <is>
          <t>HÖRBY</t>
        </is>
      </c>
      <c r="H146" t="inlineStr">
        <is>
          <t>Kyrkan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45988</v>
      </c>
      <c r="E147" s="1" t="n">
        <v>46315</v>
      </c>
      <c r="F147" t="inlineStr">
        <is>
          <t>SKÅNE LÄN</t>
        </is>
      </c>
      <c r="G147" t="inlineStr">
        <is>
          <t>HÖRBY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46315</v>
      </c>
      <c r="F148" t="inlineStr">
        <is>
          <t>SKÅNE LÄN</t>
        </is>
      </c>
      <c r="G148" t="inlineStr">
        <is>
          <t>HÖRBY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46076</v>
      </c>
      <c r="E149" s="1" t="n">
        <v>46315</v>
      </c>
      <c r="F149" t="inlineStr">
        <is>
          <t>SKÅNE LÄN</t>
        </is>
      </c>
      <c r="G149" t="inlineStr">
        <is>
          <t>HÖRBY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46315</v>
      </c>
      <c r="F150" t="inlineStr">
        <is>
          <t>SKÅNE LÄN</t>
        </is>
      </c>
      <c r="G150" t="inlineStr">
        <is>
          <t>HÖRBY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46315</v>
      </c>
      <c r="F151" t="inlineStr">
        <is>
          <t>SKÅNE LÄN</t>
        </is>
      </c>
      <c r="G151" t="inlineStr">
        <is>
          <t>HÖRBY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46315</v>
      </c>
      <c r="F152" t="inlineStr">
        <is>
          <t>SKÅNE LÄN</t>
        </is>
      </c>
      <c r="G152" t="inlineStr">
        <is>
          <t>HÖRBY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46072</v>
      </c>
      <c r="E153" s="1" t="n">
        <v>46315</v>
      </c>
      <c r="F153" t="inlineStr">
        <is>
          <t>SKÅNE LÄN</t>
        </is>
      </c>
      <c r="G153" t="inlineStr">
        <is>
          <t>HÖRBY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24670-2024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45460</v>
      </c>
      <c r="E154" s="1" t="n">
        <v>46315</v>
      </c>
      <c r="F154" t="inlineStr">
        <is>
          <t>SKÅNE LÄN</t>
        </is>
      </c>
      <c r="G154" t="inlineStr">
        <is>
          <t>HÖRBY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46315</v>
      </c>
      <c r="F155" t="inlineStr">
        <is>
          <t>SKÅNE LÄN</t>
        </is>
      </c>
      <c r="G155" t="inlineStr">
        <is>
          <t>HÖRBY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46112</v>
      </c>
      <c r="E156" s="1" t="n">
        <v>46315</v>
      </c>
      <c r="F156" t="inlineStr">
        <is>
          <t>SKÅNE LÄN</t>
        </is>
      </c>
      <c r="G156" t="inlineStr">
        <is>
          <t>HÖRBY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46315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45502</v>
      </c>
      <c r="E158" s="1" t="n">
        <v>46315</v>
      </c>
      <c r="F158" t="inlineStr">
        <is>
          <t>SKÅNE LÄN</t>
        </is>
      </c>
      <c r="G158" t="inlineStr">
        <is>
          <t>HÖRBY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46315</v>
      </c>
      <c r="F159" t="inlineStr">
        <is>
          <t>SKÅNE LÄN</t>
        </is>
      </c>
      <c r="G159" t="inlineStr">
        <is>
          <t>HÖRBY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46315</v>
      </c>
      <c r="F160" t="inlineStr">
        <is>
          <t>SKÅNE LÄN</t>
        </is>
      </c>
      <c r="G160" t="inlineStr">
        <is>
          <t>HÖRBY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29138-2026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46202</v>
      </c>
      <c r="E161" s="1" t="n">
        <v>46315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29135-2026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46202</v>
      </c>
      <c r="E162" s="1" t="n">
        <v>46315</v>
      </c>
      <c r="F162" t="inlineStr">
        <is>
          <t>SKÅNE LÄN</t>
        </is>
      </c>
      <c r="G162" t="inlineStr">
        <is>
          <t>HÖRBY</t>
        </is>
      </c>
      <c r="H162" t="inlineStr">
        <is>
          <t>Sveaskog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29137-2026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46202</v>
      </c>
      <c r="E163" s="1" t="n">
        <v>46315</v>
      </c>
      <c r="F163" t="inlineStr">
        <is>
          <t>SKÅNE LÄN</t>
        </is>
      </c>
      <c r="G163" t="inlineStr">
        <is>
          <t>HÖRBY</t>
        </is>
      </c>
      <c r="H163" t="inlineStr">
        <is>
          <t>Sveaskog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46315</v>
      </c>
      <c r="F164" t="inlineStr">
        <is>
          <t>SKÅNE LÄN</t>
        </is>
      </c>
      <c r="G164" t="inlineStr">
        <is>
          <t>HÖRBY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44814</v>
      </c>
      <c r="E165" s="1" t="n">
        <v>46315</v>
      </c>
      <c r="F165" t="inlineStr">
        <is>
          <t>SKÅNE LÄN</t>
        </is>
      </c>
      <c r="G165" t="inlineStr">
        <is>
          <t>HÖRBY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46315</v>
      </c>
      <c r="F166" t="inlineStr">
        <is>
          <t>SKÅNE LÄN</t>
        </is>
      </c>
      <c r="G166" t="inlineStr">
        <is>
          <t>HÖRBY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45079</v>
      </c>
      <c r="E167" s="1" t="n">
        <v>46315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46315</v>
      </c>
      <c r="F168" t="inlineStr">
        <is>
          <t>SKÅNE LÄN</t>
        </is>
      </c>
      <c r="G168" t="inlineStr">
        <is>
          <t>HÖRBY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44073-2024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46315</v>
      </c>
      <c r="F169" t="inlineStr">
        <is>
          <t>SKÅNE LÄN</t>
        </is>
      </c>
      <c r="G169" t="inlineStr">
        <is>
          <t>HÖRBY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45540</v>
      </c>
      <c r="E170" s="1" t="n">
        <v>46315</v>
      </c>
      <c r="F170" t="inlineStr">
        <is>
          <t>SKÅNE LÄN</t>
        </is>
      </c>
      <c r="G170" t="inlineStr">
        <is>
          <t>HÖRBY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46315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46315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46315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43685-2022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44837</v>
      </c>
      <c r="E174" s="1" t="n">
        <v>46315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46315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23606-2026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46162</v>
      </c>
      <c r="E176" s="1" t="n">
        <v>46315</v>
      </c>
      <c r="F176" t="inlineStr">
        <is>
          <t>SKÅNE LÄN</t>
        </is>
      </c>
      <c r="G176" t="inlineStr">
        <is>
          <t>HÖRBY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46315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45970</v>
      </c>
      <c r="E178" s="1" t="n">
        <v>46315</v>
      </c>
      <c r="F178" t="inlineStr">
        <is>
          <t>SKÅNE LÄN</t>
        </is>
      </c>
      <c r="G178" t="inlineStr">
        <is>
          <t>HÖRBY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6558-2025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45699</v>
      </c>
      <c r="E179" s="1" t="n">
        <v>46315</v>
      </c>
      <c r="F179" t="inlineStr">
        <is>
          <t>SKÅNE LÄN</t>
        </is>
      </c>
      <c r="G179" t="inlineStr">
        <is>
          <t>HÖRBY</t>
        </is>
      </c>
      <c r="H179" t="inlineStr">
        <is>
          <t>Kommuner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46315</v>
      </c>
      <c r="F180" t="inlineStr">
        <is>
          <t>SKÅNE LÄN</t>
        </is>
      </c>
      <c r="G180" t="inlineStr">
        <is>
          <t>HÖRBY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44944</v>
      </c>
      <c r="E181" s="1" t="n">
        <v>46315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44775</v>
      </c>
      <c r="E182" s="1" t="n">
        <v>46315</v>
      </c>
      <c r="F182" t="inlineStr">
        <is>
          <t>SKÅNE LÄN</t>
        </is>
      </c>
      <c r="G182" t="inlineStr">
        <is>
          <t>HÖRBY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46315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46315</v>
      </c>
      <c r="F184" t="inlineStr">
        <is>
          <t>SKÅNE LÄN</t>
        </is>
      </c>
      <c r="G184" t="inlineStr">
        <is>
          <t>HÖRBY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46315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46315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48427-2022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46315</v>
      </c>
      <c r="F187" t="inlineStr">
        <is>
          <t>SKÅNE LÄN</t>
        </is>
      </c>
      <c r="G187" t="inlineStr">
        <is>
          <t>HÖRBY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46315</v>
      </c>
      <c r="F188" t="inlineStr">
        <is>
          <t>SKÅNE LÄN</t>
        </is>
      </c>
      <c r="G188" t="inlineStr">
        <is>
          <t>HÖRBY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45688</v>
      </c>
      <c r="E189" s="1" t="n">
        <v>46315</v>
      </c>
      <c r="F189" t="inlineStr">
        <is>
          <t>SKÅNE LÄN</t>
        </is>
      </c>
      <c r="G189" t="inlineStr">
        <is>
          <t>HÖRBY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45128</v>
      </c>
      <c r="E190" s="1" t="n">
        <v>46315</v>
      </c>
      <c r="F190" t="inlineStr">
        <is>
          <t>SKÅNE LÄN</t>
        </is>
      </c>
      <c r="G190" t="inlineStr">
        <is>
          <t>HÖRBY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46315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41940-2022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44833</v>
      </c>
      <c r="E192" s="1" t="n">
        <v>46315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46315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46286</v>
      </c>
      <c r="E194" s="1" t="n">
        <v>46315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46315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46315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46286</v>
      </c>
      <c r="E197" s="1" t="n">
        <v>46315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37300-2026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46274</v>
      </c>
      <c r="E198" s="1" t="n">
        <v>46315</v>
      </c>
      <c r="F198" t="inlineStr">
        <is>
          <t>SKÅNE LÄN</t>
        </is>
      </c>
      <c r="G198" t="inlineStr">
        <is>
          <t>HÖRBY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46315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44693</v>
      </c>
      <c r="E200" s="1" t="n">
        <v>46315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46286</v>
      </c>
      <c r="E201" s="1" t="n">
        <v>46315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46315</v>
      </c>
      <c r="F202" t="inlineStr">
        <is>
          <t>SKÅNE LÄN</t>
        </is>
      </c>
      <c r="G202" t="inlineStr">
        <is>
          <t>HÖRBY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46315</v>
      </c>
      <c r="F203" t="inlineStr">
        <is>
          <t>SKÅNE LÄN</t>
        </is>
      </c>
      <c r="G203" t="inlineStr">
        <is>
          <t>HÖRBY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46315</v>
      </c>
      <c r="F204" t="inlineStr">
        <is>
          <t>SKÅNE LÄN</t>
        </is>
      </c>
      <c r="G204" t="inlineStr">
        <is>
          <t>HÖRBY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46315</v>
      </c>
      <c r="F205" t="inlineStr">
        <is>
          <t>SKÅNE LÄN</t>
        </is>
      </c>
      <c r="G205" t="inlineStr">
        <is>
          <t>HÖRBY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46315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46315</v>
      </c>
      <c r="F207" t="inlineStr">
        <is>
          <t>SKÅNE LÄN</t>
        </is>
      </c>
      <c r="G207" t="inlineStr">
        <is>
          <t>HÖRBY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46302</v>
      </c>
      <c r="E208" s="1" t="n">
        <v>46315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46315</v>
      </c>
      <c r="F209" t="inlineStr">
        <is>
          <t>SKÅNE LÄN</t>
        </is>
      </c>
      <c r="G209" t="inlineStr">
        <is>
          <t>HÖRBY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46315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46285</v>
      </c>
      <c r="E211" s="1" t="n">
        <v>46315</v>
      </c>
      <c r="F211" t="inlineStr">
        <is>
          <t>SKÅNE LÄN</t>
        </is>
      </c>
      <c r="G211" t="inlineStr">
        <is>
          <t>HÖRBY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46315</v>
      </c>
      <c r="F212" t="inlineStr">
        <is>
          <t>SKÅNE LÄN</t>
        </is>
      </c>
      <c r="G212" t="inlineStr">
        <is>
          <t>HÖRBY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43711-2024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45569</v>
      </c>
      <c r="E213" s="1" t="n">
        <v>46315</v>
      </c>
      <c r="F213" t="inlineStr">
        <is>
          <t>SKÅNE LÄN</t>
        </is>
      </c>
      <c r="G213" t="inlineStr">
        <is>
          <t>HÖRBY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46315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46315</v>
      </c>
      <c r="F215" t="inlineStr">
        <is>
          <t>SKÅNE LÄN</t>
        </is>
      </c>
      <c r="G215" t="inlineStr">
        <is>
          <t>HÖRBY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45818</v>
      </c>
      <c r="E216" s="1" t="n">
        <v>46315</v>
      </c>
      <c r="F216" t="inlineStr">
        <is>
          <t>SKÅNE LÄN</t>
        </is>
      </c>
      <c r="G216" t="inlineStr">
        <is>
          <t>HÖRBY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46315</v>
      </c>
      <c r="F217" t="inlineStr">
        <is>
          <t>SKÅNE LÄN</t>
        </is>
      </c>
      <c r="G217" t="inlineStr">
        <is>
          <t>HÖRBY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46310</v>
      </c>
      <c r="E218" s="1" t="n">
        <v>46315</v>
      </c>
      <c r="F218" t="inlineStr">
        <is>
          <t>SKÅNE LÄN</t>
        </is>
      </c>
      <c r="G218" t="inlineStr">
        <is>
          <t>HÖRBY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46315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46315</v>
      </c>
      <c r="F220" t="inlineStr">
        <is>
          <t>SKÅNE LÄN</t>
        </is>
      </c>
      <c r="G220" t="inlineStr">
        <is>
          <t>HÖRBY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45315</v>
      </c>
      <c r="E221" s="1" t="n">
        <v>46315</v>
      </c>
      <c r="F221" t="inlineStr">
        <is>
          <t>SKÅNE LÄN</t>
        </is>
      </c>
      <c r="G221" t="inlineStr">
        <is>
          <t>HÖRBY</t>
        </is>
      </c>
      <c r="H221" t="inlineStr">
        <is>
          <t>Kyrkan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46315</v>
      </c>
      <c r="F222" t="inlineStr">
        <is>
          <t>SKÅNE LÄN</t>
        </is>
      </c>
      <c r="G222" t="inlineStr">
        <is>
          <t>HÖRBY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46315</v>
      </c>
      <c r="F223" t="inlineStr">
        <is>
          <t>SKÅNE LÄN</t>
        </is>
      </c>
      <c r="G223" t="inlineStr">
        <is>
          <t>HÖRBY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46315</v>
      </c>
      <c r="F224" t="inlineStr">
        <is>
          <t>SKÅNE LÄN</t>
        </is>
      </c>
      <c r="G224" t="inlineStr">
        <is>
          <t>HÖRBY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45868</v>
      </c>
      <c r="E225" s="1" t="n">
        <v>46315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46315</v>
      </c>
      <c r="F226" t="inlineStr">
        <is>
          <t>SKÅNE LÄN</t>
        </is>
      </c>
      <c r="G226" t="inlineStr">
        <is>
          <t>HÖRBY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46315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3888-2023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45230</v>
      </c>
      <c r="E228" s="1" t="n">
        <v>46315</v>
      </c>
      <c r="F228" t="inlineStr">
        <is>
          <t>SKÅNE LÄN</t>
        </is>
      </c>
      <c r="G228" t="inlineStr">
        <is>
          <t>HÖRBY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4691-2022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44796</v>
      </c>
      <c r="E229" s="1" t="n">
        <v>46315</v>
      </c>
      <c r="F229" t="inlineStr">
        <is>
          <t>SKÅNE LÄN</t>
        </is>
      </c>
      <c r="G229" t="inlineStr">
        <is>
          <t>HÖRBY</t>
        </is>
      </c>
      <c r="I229" t="n">
        <v>39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734-2025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45722</v>
      </c>
      <c r="E230" s="1" t="n">
        <v>46315</v>
      </c>
      <c r="F230" t="inlineStr">
        <is>
          <t>SKÅNE LÄN</t>
        </is>
      </c>
      <c r="G230" t="inlineStr">
        <is>
          <t>HÖRBY</t>
        </is>
      </c>
      <c r="I230" t="n">
        <v>27.4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144-2026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46042</v>
      </c>
      <c r="E231" s="1" t="n">
        <v>46315</v>
      </c>
      <c r="F231" t="inlineStr">
        <is>
          <t>SKÅNE LÄN</t>
        </is>
      </c>
      <c r="G231" t="inlineStr">
        <is>
          <t>HÖRBY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220-2026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46051</v>
      </c>
      <c r="E232" s="1" t="n">
        <v>46315</v>
      </c>
      <c r="F232" t="inlineStr">
        <is>
          <t>SKÅNE LÄN</t>
        </is>
      </c>
      <c r="G232" t="inlineStr">
        <is>
          <t>HÖRBY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1874-2026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46315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1875-2026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46315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1873-2026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46315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2026-10-20T01:51:22Z</dcterms:created>
  <dcterms:modified xmlns:dcterms="http://purl.org/dc/terms/" xmlns:xsi="http://www.w3.org/2001/XMLSchema-instance" xsi:type="dcterms:W3CDTF">2026-10-20T01:51:22Z</dcterms:modified>
</cp:coreProperties>
</file>