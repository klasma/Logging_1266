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46308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46308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46308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46308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46308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46308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46308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46308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46308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46308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46308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46308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46308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46308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46308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24823-2026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46308</v>
      </c>
      <c r="F24" t="inlineStr">
        <is>
          <t>SKÅNE LÄN</t>
        </is>
      </c>
      <c r="G24" t="inlineStr">
        <is>
          <t>HÖRBY</t>
        </is>
      </c>
      <c r="H24" t="inlineStr">
        <is>
          <t>Sveaskog</t>
        </is>
      </c>
      <c r="I24" t="n">
        <v>5.1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Tandrot</t>
        </is>
      </c>
      <c r="W24">
        <f>HYPERLINK("https://klasma.github.io/Logging_1266/artfynd/A 24823-2026 artfynd.xlsx", "A 24823-2026")</f>
        <v/>
      </c>
      <c r="X24">
        <f>HYPERLINK("https://klasma.github.io/Logging_1266/kartor/A 24823-2026 karta.png", "A 24823-2026")</f>
        <v/>
      </c>
      <c r="Y24">
        <f>HYPERLINK("https://klasma.github.io/Logging_1266/kartor_geotiff/A 24823-2026 georefererad karta.tif", "A 24823-2026")</f>
        <v/>
      </c>
      <c r="AA24">
        <f>HYPERLINK("https://klasma.github.io/Logging_1266/klagomål/A 24823-2026 FSC-klagomål.docx", "A 24823-2026")</f>
        <v/>
      </c>
      <c r="AB24">
        <f>HYPERLINK("https://klasma.github.io/Logging_1266/klagomålsmail/A 24823-2026 FSC-klagomål mail.docx", "A 24823-2026")</f>
        <v/>
      </c>
      <c r="AC24">
        <f>HYPERLINK("https://klasma.github.io/Logging_1266/tillsyn/A 24823-2026 tillsynsbegäran.docx", "A 24823-2026")</f>
        <v/>
      </c>
      <c r="AD24">
        <f>HYPERLINK("https://klasma.github.io/Logging_1266/tillsynsmail/A 24823-2026 tillsynsbegäran mail.docx", "A 24823-2026")</f>
        <v/>
      </c>
    </row>
    <row r="25" ht="15" customHeight="1">
      <c r="A25" t="inlineStr">
        <is>
          <t>A 16519-2026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46308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16519-2026 artfynd.xlsx", "A 16519-2026")</f>
        <v/>
      </c>
      <c r="X25">
        <f>HYPERLINK("https://klasma.github.io/Logging_1266/kartor/A 16519-2026 karta.png", "A 16519-2026")</f>
        <v/>
      </c>
      <c r="Y25">
        <f>HYPERLINK("https://klasma.github.io/Logging_1266/kartor_geotiff/A 16519-2026 georefererad karta.tif", "A 16519-2026")</f>
        <v/>
      </c>
      <c r="AA25">
        <f>HYPERLINK("https://klasma.github.io/Logging_1266/klagomål/A 16519-2026 FSC-klagomål.docx", "A 16519-2026")</f>
        <v/>
      </c>
      <c r="AB25">
        <f>HYPERLINK("https://klasma.github.io/Logging_1266/klagomålsmail/A 16519-2026 FSC-klagomål mail.docx", "A 16519-2026")</f>
        <v/>
      </c>
      <c r="AC25">
        <f>HYPERLINK("https://klasma.github.io/Logging_1266/tillsyn/A 16519-2026 tillsynsbegäran.docx", "A 16519-2026")</f>
        <v/>
      </c>
      <c r="AD25">
        <f>HYPERLINK("https://klasma.github.io/Logging_1266/tillsynsmail/A 16519-2026 tillsynsbegäran mail.docx", "A 16519-2026")</f>
        <v/>
      </c>
    </row>
    <row r="26" ht="15" customHeight="1">
      <c r="A26" t="inlineStr">
        <is>
          <t>A 21713-2025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46308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HYPERLINK("https://klasma.github.io/Logging_1266/artfynd/A 21713-2025 artfynd.xlsx", "A 21713-2025")</f>
        <v/>
      </c>
      <c r="X26">
        <f>HYPERLINK("https://klasma.github.io/Logging_1266/kartor/A 21713-2025 karta.png", "A 21713-2025")</f>
        <v/>
      </c>
      <c r="Y26">
        <f>HYPERLINK("https://klasma.github.io/Logging_1266/kartor_geotiff/A 21713-2025 georefererad karta.tif", "A 21713-2025")</f>
        <v/>
      </c>
      <c r="AA26">
        <f>HYPERLINK("https://klasma.github.io/Logging_1266/klagomål/A 21713-2025 FSC-klagomål.docx", "A 21713-2025")</f>
        <v/>
      </c>
      <c r="AB26">
        <f>HYPERLINK("https://klasma.github.io/Logging_1266/klagomålsmail/A 21713-2025 FSC-klagomål mail.docx", "A 21713-2025")</f>
        <v/>
      </c>
      <c r="AC26">
        <f>HYPERLINK("https://klasma.github.io/Logging_1266/tillsyn/A 21713-2025 tillsynsbegäran.docx", "A 21713-2025")</f>
        <v/>
      </c>
      <c r="AD26">
        <f>HYPERLINK("https://klasma.github.io/Logging_1266/tillsynsmail/A 21713-2025 tillsynsbegäran mail.docx", "A 21713-2025")</f>
        <v/>
      </c>
    </row>
    <row r="27" ht="15" customHeight="1">
      <c r="A27" t="inlineStr">
        <is>
          <t>A 31284-2026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46218</v>
      </c>
      <c r="E27" s="1" t="n">
        <v>46308</v>
      </c>
      <c r="F27" t="inlineStr">
        <is>
          <t>SKÅNE LÄN</t>
        </is>
      </c>
      <c r="G27" t="inlineStr">
        <is>
          <t>HÖRBY</t>
        </is>
      </c>
      <c r="I27" t="n">
        <v>6.8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groda</t>
        </is>
      </c>
      <c r="W27">
        <f>HYPERLINK("https://klasma.github.io/Logging_1266/artfynd/A 31284-2026 artfynd.xlsx", "A 31284-2026")</f>
        <v/>
      </c>
      <c r="X27">
        <f>HYPERLINK("https://klasma.github.io/Logging_1266/kartor/A 31284-2026 karta.png", "A 31284-2026")</f>
        <v/>
      </c>
      <c r="Y27">
        <f>HYPERLINK("https://klasma.github.io/Logging_1266/kartor_geotiff/A 31284-2026 georefererad karta.tif", "A 31284-2026")</f>
        <v/>
      </c>
      <c r="AA27">
        <f>HYPERLINK("https://klasma.github.io/Logging_1266/klagomål/A 31284-2026 FSC-klagomål.docx", "A 31284-2026")</f>
        <v/>
      </c>
      <c r="AB27">
        <f>HYPERLINK("https://klasma.github.io/Logging_1266/klagomålsmail/A 31284-2026 FSC-klagomål mail.docx", "A 31284-2026")</f>
        <v/>
      </c>
      <c r="AC27">
        <f>HYPERLINK("https://klasma.github.io/Logging_1266/tillsyn/A 31284-2026 tillsynsbegäran.docx", "A 31284-2026")</f>
        <v/>
      </c>
      <c r="AD27">
        <f>HYPERLINK("https://klasma.github.io/Logging_1266/tillsynsmail/A 31284-2026 tillsynsbegäran mail.docx", "A 31284-2026")</f>
        <v/>
      </c>
    </row>
    <row r="28" ht="15" customHeight="1">
      <c r="A28" t="inlineStr">
        <is>
          <t>A 25479-2025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45802</v>
      </c>
      <c r="E28" s="1" t="n">
        <v>46308</v>
      </c>
      <c r="F28" t="inlineStr">
        <is>
          <t>SKÅNE LÄN</t>
        </is>
      </c>
      <c r="G28" t="inlineStr">
        <is>
          <t>HÖRBY</t>
        </is>
      </c>
      <c r="I28" t="n">
        <v>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Lundvårlök</t>
        </is>
      </c>
      <c r="W28">
        <f>HYPERLINK("https://klasma.github.io/Logging_1266/artfynd/A 25479-2025 artfynd.xlsx", "A 25479-2025")</f>
        <v/>
      </c>
      <c r="X28">
        <f>HYPERLINK("https://klasma.github.io/Logging_1266/kartor/A 25479-2025 karta.png", "A 25479-2025")</f>
        <v/>
      </c>
      <c r="Y28">
        <f>HYPERLINK("https://klasma.github.io/Logging_1266/kartor_geotiff/A 25479-2025 georefererad karta.tif", "A 25479-2025")</f>
        <v/>
      </c>
      <c r="AA28">
        <f>HYPERLINK("https://klasma.github.io/Logging_1266/klagomål/A 25479-2025 FSC-klagomål.docx", "A 25479-2025")</f>
        <v/>
      </c>
      <c r="AB28">
        <f>HYPERLINK("https://klasma.github.io/Logging_1266/klagomålsmail/A 25479-2025 FSC-klagomål mail.docx", "A 25479-2025")</f>
        <v/>
      </c>
      <c r="AC28">
        <f>HYPERLINK("https://klasma.github.io/Logging_1266/tillsyn/A 25479-2025 tillsynsbegäran.docx", "A 25479-2025")</f>
        <v/>
      </c>
      <c r="AD28">
        <f>HYPERLINK("https://klasma.github.io/Logging_1266/tillsynsmail/A 25479-2025 tillsynsbegäran mail.docx", "A 25479-2025")</f>
        <v/>
      </c>
    </row>
    <row r="29" ht="15" customHeight="1">
      <c r="A29" t="inlineStr">
        <is>
          <t>A 36362-2025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45868</v>
      </c>
      <c r="E29" s="1" t="n">
        <v>46308</v>
      </c>
      <c r="F29" t="inlineStr">
        <is>
          <t>SKÅNE LÄN</t>
        </is>
      </c>
      <c r="G29" t="inlineStr">
        <is>
          <t>HÖRBY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HYPERLINK("https://klasma.github.io/Logging_1266/artfynd/A 36362-2025 artfynd.xlsx", "A 36362-2025")</f>
        <v/>
      </c>
      <c r="X29">
        <f>HYPERLINK("https://klasma.github.io/Logging_1266/kartor/A 36362-2025 karta.png", "A 36362-2025")</f>
        <v/>
      </c>
      <c r="Y29">
        <f>HYPERLINK("https://klasma.github.io/Logging_1266/kartor_geotiff/A 36362-2025 georefererad karta.tif", "A 36362-2025")</f>
        <v/>
      </c>
      <c r="AA29">
        <f>HYPERLINK("https://klasma.github.io/Logging_1266/klagomål/A 36362-2025 FSC-klagomål.docx", "A 36362-2025")</f>
        <v/>
      </c>
      <c r="AB29">
        <f>HYPERLINK("https://klasma.github.io/Logging_1266/klagomålsmail/A 36362-2025 FSC-klagomål mail.docx", "A 36362-2025")</f>
        <v/>
      </c>
      <c r="AC29">
        <f>HYPERLINK("https://klasma.github.io/Logging_1266/tillsyn/A 36362-2025 tillsynsbegäran.docx", "A 36362-2025")</f>
        <v/>
      </c>
      <c r="AD29">
        <f>HYPERLINK("https://klasma.github.io/Logging_1266/tillsynsmail/A 36362-2025 tillsynsbegäran mail.docx", "A 36362-2025")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46308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30165-2026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46308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30165-2026 artfynd.xlsx", "A 30165-2026")</f>
        <v/>
      </c>
      <c r="X31">
        <f>HYPERLINK("https://klasma.github.io/Logging_1266/kartor/A 30165-2026 karta.png", "A 30165-2026")</f>
        <v/>
      </c>
      <c r="Y31">
        <f>HYPERLINK("https://klasma.github.io/Logging_1266/kartor_geotiff/A 30165-2026 georefererad karta.tif", "A 30165-2026")</f>
        <v/>
      </c>
      <c r="AA31">
        <f>HYPERLINK("https://klasma.github.io/Logging_1266/klagomål/A 30165-2026 FSC-klagomål.docx", "A 30165-2026")</f>
        <v/>
      </c>
      <c r="AB31">
        <f>HYPERLINK("https://klasma.github.io/Logging_1266/klagomålsmail/A 30165-2026 FSC-klagomål mail.docx", "A 30165-2026")</f>
        <v/>
      </c>
      <c r="AC31">
        <f>HYPERLINK("https://klasma.github.io/Logging_1266/tillsyn/A 30165-2026 tillsynsbegäran.docx", "A 30165-2026")</f>
        <v/>
      </c>
      <c r="AD31">
        <f>HYPERLINK("https://klasma.github.io/Logging_1266/tillsynsmail/A 30165-2026 tillsynsbegäran mail.docx", "A 30165-2026")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46308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47612-2023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46308</v>
      </c>
      <c r="F33" t="inlineStr">
        <is>
          <t>SKÅNE LÄN</t>
        </is>
      </c>
      <c r="G33" t="inlineStr">
        <is>
          <t>HÖRBY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47612-2023 artfynd.xlsx", "A 47612-2023")</f>
        <v/>
      </c>
      <c r="X33">
        <f>HYPERLINK("https://klasma.github.io/Logging_1266/kartor/A 47612-2023 karta.png", "A 47612-2023")</f>
        <v/>
      </c>
      <c r="Y33">
        <f>HYPERLINK("https://klasma.github.io/Logging_1266/kartor_geotiff/A 47612-2023 georefererad karta.tif", "A 47612-2023")</f>
        <v/>
      </c>
      <c r="AA33">
        <f>HYPERLINK("https://klasma.github.io/Logging_1266/klagomål/A 47612-2023 FSC-klagomål.docx", "A 47612-2023")</f>
        <v/>
      </c>
      <c r="AB33">
        <f>HYPERLINK("https://klasma.github.io/Logging_1266/klagomålsmail/A 47612-2023 FSC-klagomål mail.docx", "A 47612-2023")</f>
        <v/>
      </c>
      <c r="AC33">
        <f>HYPERLINK("https://klasma.github.io/Logging_1266/tillsyn/A 47612-2023 tillsynsbegäran.docx", "A 47612-2023")</f>
        <v/>
      </c>
      <c r="AD33">
        <f>HYPERLINK("https://klasma.github.io/Logging_1266/tillsynsmail/A 47612-2023 tillsynsbegäran mail.docx", "A 47612-2023")</f>
        <v/>
      </c>
    </row>
    <row r="34" ht="15" customHeight="1">
      <c r="A34" t="inlineStr">
        <is>
          <t>A 40376-2023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46308</v>
      </c>
      <c r="F34" t="inlineStr">
        <is>
          <t>SKÅNE LÄN</t>
        </is>
      </c>
      <c r="G34" t="inlineStr">
        <is>
          <t>HÖRBY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HYPERLINK("https://klasma.github.io/Logging_1266/artfynd/A 40376-2023 artfynd.xlsx", "A 40376-2023")</f>
        <v/>
      </c>
      <c r="X34">
        <f>HYPERLINK("https://klasma.github.io/Logging_1266/kartor/A 40376-2023 karta.png", "A 40376-2023")</f>
        <v/>
      </c>
      <c r="Y34">
        <f>HYPERLINK("https://klasma.github.io/Logging_1266/kartor_geotiff/A 40376-2023 georefererad karta.tif", "A 40376-2023")</f>
        <v/>
      </c>
      <c r="AA34">
        <f>HYPERLINK("https://klasma.github.io/Logging_1266/klagomål/A 40376-2023 FSC-klagomål.docx", "A 40376-2023")</f>
        <v/>
      </c>
      <c r="AB34">
        <f>HYPERLINK("https://klasma.github.io/Logging_1266/klagomålsmail/A 40376-2023 FSC-klagomål mail.docx", "A 40376-2023")</f>
        <v/>
      </c>
      <c r="AC34">
        <f>HYPERLINK("https://klasma.github.io/Logging_1266/tillsyn/A 40376-2023 tillsynsbegäran.docx", "A 40376-2023")</f>
        <v/>
      </c>
      <c r="AD34">
        <f>HYPERLINK("https://klasma.github.io/Logging_1266/tillsynsmail/A 40376-2023 tillsynsbegäran mail.docx", "A 40376-2023")</f>
        <v/>
      </c>
      <c r="AE34">
        <f>HYPERLINK("https://klasma.github.io/Logging_1266/fåglar/A 40376-2023 prioriterade fågelarter.docx", "A 40376-2023")</f>
        <v/>
      </c>
    </row>
    <row r="35" ht="15" customHeight="1">
      <c r="A35" t="inlineStr">
        <is>
          <t>A 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46308</v>
      </c>
      <c r="F35" t="inlineStr">
        <is>
          <t>SKÅNE LÄN</t>
        </is>
      </c>
      <c r="G35" t="inlineStr">
        <is>
          <t>HÖRBY</t>
        </is>
      </c>
      <c r="I35" t="n">
        <v>5.1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HYPERLINK("https://klasma.github.io/Logging_1266/artfynd/A 113-2023 artfynd.xlsx", "A 113-2023")</f>
        <v/>
      </c>
      <c r="X35">
        <f>HYPERLINK("https://klasma.github.io/Logging_1266/kartor/A 113-2023 karta.png", "A 113-2023")</f>
        <v/>
      </c>
      <c r="Y35">
        <f>HYPERLINK("https://klasma.github.io/Logging_1266/kartor_geotiff/A 113-2023 georefererad karta.tif", "A 113-2023")</f>
        <v/>
      </c>
      <c r="AA35">
        <f>HYPERLINK("https://klasma.github.io/Logging_1266/klagomål/A 113-2023 FSC-klagomål.docx", "A 113-2023")</f>
        <v/>
      </c>
      <c r="AB35">
        <f>HYPERLINK("https://klasma.github.io/Logging_1266/klagomålsmail/A 113-2023 FSC-klagomål mail.docx", "A 113-2023")</f>
        <v/>
      </c>
      <c r="AC35">
        <f>HYPERLINK("https://klasma.github.io/Logging_1266/tillsyn/A 113-2023 tillsynsbegäran.docx", "A 113-2023")</f>
        <v/>
      </c>
      <c r="AD35">
        <f>HYPERLINK("https://klasma.github.io/Logging_1266/tillsynsmail/A 113-2023 tillsynsbegäran mail.docx", "A 113-2023")</f>
        <v/>
      </c>
    </row>
    <row r="36" ht="15" customHeight="1">
      <c r="A36" t="inlineStr">
        <is>
          <t>A 25833-2024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45463</v>
      </c>
      <c r="E36" s="1" t="n">
        <v>46308</v>
      </c>
      <c r="F36" t="inlineStr">
        <is>
          <t>SKÅNE LÄN</t>
        </is>
      </c>
      <c r="G36" t="inlineStr">
        <is>
          <t>HÖRBY</t>
        </is>
      </c>
      <c r="I36" t="n">
        <v>1.4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Slåttergubbe</t>
        </is>
      </c>
      <c r="W36">
        <f>HYPERLINK("https://klasma.github.io/Logging_1266/artfynd/A 25833-2024 artfynd.xlsx", "A 25833-2024")</f>
        <v/>
      </c>
      <c r="X36">
        <f>HYPERLINK("https://klasma.github.io/Logging_1266/kartor/A 25833-2024 karta.png", "A 25833-2024")</f>
        <v/>
      </c>
      <c r="Y36">
        <f>HYPERLINK("https://klasma.github.io/Logging_1266/kartor_geotiff/A 25833-2024 georefererad karta.tif", "A 25833-2024")</f>
        <v/>
      </c>
      <c r="AA36">
        <f>HYPERLINK("https://klasma.github.io/Logging_1266/klagomål/A 25833-2024 FSC-klagomål.docx", "A 25833-2024")</f>
        <v/>
      </c>
      <c r="AB36">
        <f>HYPERLINK("https://klasma.github.io/Logging_1266/klagomålsmail/A 25833-2024 FSC-klagomål mail.docx", "A 25833-2024")</f>
        <v/>
      </c>
      <c r="AC36">
        <f>HYPERLINK("https://klasma.github.io/Logging_1266/tillsyn/A 25833-2024 tillsynsbegäran.docx", "A 25833-2024")</f>
        <v/>
      </c>
      <c r="AD36">
        <f>HYPERLINK("https://klasma.github.io/Logging_1266/tillsynsmail/A 25833-2024 tillsynsbegäran mail.docx", "A 25833-2024")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46308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46308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46308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46308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46308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46308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46308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46308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46308</v>
      </c>
      <c r="F48" t="inlineStr">
        <is>
          <t>SKÅNE LÄN</t>
        </is>
      </c>
      <c r="G48" t="inlineStr">
        <is>
          <t>HÖRBY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45478</v>
      </c>
      <c r="E49" s="1" t="n">
        <v>46308</v>
      </c>
      <c r="F49" t="inlineStr">
        <is>
          <t>SKÅNE LÄN</t>
        </is>
      </c>
      <c r="G49" t="inlineStr">
        <is>
          <t>HÖRBY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46308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46308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46048</v>
      </c>
      <c r="E52" s="1" t="n">
        <v>46308</v>
      </c>
      <c r="F52" t="inlineStr">
        <is>
          <t>SKÅNE LÄN</t>
        </is>
      </c>
      <c r="G52" t="inlineStr">
        <is>
          <t>HÖRBY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46051</v>
      </c>
      <c r="E53" s="1" t="n">
        <v>46308</v>
      </c>
      <c r="F53" t="inlineStr">
        <is>
          <t>SKÅNE LÄN</t>
        </is>
      </c>
      <c r="G53" t="inlineStr">
        <is>
          <t>HÖRBY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18369-2025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45762</v>
      </c>
      <c r="E54" s="1" t="n">
        <v>46308</v>
      </c>
      <c r="F54" t="inlineStr">
        <is>
          <t>SKÅNE LÄN</t>
        </is>
      </c>
      <c r="G54" t="inlineStr">
        <is>
          <t>HÖRBY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45845</v>
      </c>
      <c r="E55" s="1" t="n">
        <v>46308</v>
      </c>
      <c r="F55" t="inlineStr">
        <is>
          <t>SKÅNE LÄN</t>
        </is>
      </c>
      <c r="G55" t="inlineStr">
        <is>
          <t>HÖRBY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46041</v>
      </c>
      <c r="E56" s="1" t="n">
        <v>46308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6558-2025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45699</v>
      </c>
      <c r="E57" s="1" t="n">
        <v>46308</v>
      </c>
      <c r="F57" t="inlineStr">
        <is>
          <t>SKÅNE LÄN</t>
        </is>
      </c>
      <c r="G57" t="inlineStr">
        <is>
          <t>HÖRBY</t>
        </is>
      </c>
      <c r="H57" t="inlineStr">
        <is>
          <t>Kommuner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46308</v>
      </c>
      <c r="F58" t="inlineStr">
        <is>
          <t>SKÅNE LÄN</t>
        </is>
      </c>
      <c r="G58" t="inlineStr">
        <is>
          <t>HÖRBY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46308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34147-2025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46308</v>
      </c>
      <c r="F60" t="inlineStr">
        <is>
          <t>SKÅNE LÄN</t>
        </is>
      </c>
      <c r="G60" t="inlineStr">
        <is>
          <t>HÖRBY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46308</v>
      </c>
      <c r="F61" t="inlineStr">
        <is>
          <t>SKÅNE LÄN</t>
        </is>
      </c>
      <c r="G61" t="inlineStr">
        <is>
          <t>HÖRBY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51757-2025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45951</v>
      </c>
      <c r="E62" s="1" t="n">
        <v>46308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46308</v>
      </c>
      <c r="F63" t="inlineStr">
        <is>
          <t>SKÅNE LÄN</t>
        </is>
      </c>
      <c r="G63" t="inlineStr">
        <is>
          <t>HÖRBY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44814</v>
      </c>
      <c r="E64" s="1" t="n">
        <v>46308</v>
      </c>
      <c r="F64" t="inlineStr">
        <is>
          <t>SKÅNE LÄN</t>
        </is>
      </c>
      <c r="G64" t="inlineStr">
        <is>
          <t>HÖRBY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46112</v>
      </c>
      <c r="E65" s="1" t="n">
        <v>46308</v>
      </c>
      <c r="F65" t="inlineStr">
        <is>
          <t>SKÅNE LÄN</t>
        </is>
      </c>
      <c r="G65" t="inlineStr">
        <is>
          <t>HÖRBY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46308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46308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46308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29138-2026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46202</v>
      </c>
      <c r="E69" s="1" t="n">
        <v>46308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29124-2026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46202</v>
      </c>
      <c r="E70" s="1" t="n">
        <v>46308</v>
      </c>
      <c r="F70" t="inlineStr">
        <is>
          <t>SKÅNE LÄN</t>
        </is>
      </c>
      <c r="G70" t="inlineStr">
        <is>
          <t>HÖRBY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29135-2026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46202</v>
      </c>
      <c r="E71" s="1" t="n">
        <v>46308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29137-2026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46202</v>
      </c>
      <c r="E72" s="1" t="n">
        <v>46308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45224</v>
      </c>
      <c r="E73" s="1" t="n">
        <v>46308</v>
      </c>
      <c r="F73" t="inlineStr">
        <is>
          <t>SKÅNE LÄN</t>
        </is>
      </c>
      <c r="G73" t="inlineStr">
        <is>
          <t>HÖRBY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45966</v>
      </c>
      <c r="E74" s="1" t="n">
        <v>46308</v>
      </c>
      <c r="F74" t="inlineStr">
        <is>
          <t>SKÅNE LÄN</t>
        </is>
      </c>
      <c r="G74" t="inlineStr">
        <is>
          <t>HÖRBY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55304-2025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45970</v>
      </c>
      <c r="E75" s="1" t="n">
        <v>46308</v>
      </c>
      <c r="F75" t="inlineStr">
        <is>
          <t>SKÅNE LÄN</t>
        </is>
      </c>
      <c r="G75" t="inlineStr">
        <is>
          <t>HÖRBY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55306-2025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45970</v>
      </c>
      <c r="E76" s="1" t="n">
        <v>46308</v>
      </c>
      <c r="F76" t="inlineStr">
        <is>
          <t>SKÅNE LÄN</t>
        </is>
      </c>
      <c r="G76" t="inlineStr">
        <is>
          <t>HÖRBY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46308</v>
      </c>
      <c r="F77" t="inlineStr">
        <is>
          <t>SKÅNE LÄN</t>
        </is>
      </c>
      <c r="G77" t="inlineStr">
        <is>
          <t>HÖRBY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46308</v>
      </c>
      <c r="F78" t="inlineStr">
        <is>
          <t>SKÅNE LÄN</t>
        </is>
      </c>
      <c r="G78" t="inlineStr">
        <is>
          <t>HÖRBY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45979</v>
      </c>
      <c r="E79" s="1" t="n">
        <v>46308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45680</v>
      </c>
      <c r="E80" s="1" t="n">
        <v>46308</v>
      </c>
      <c r="F80" t="inlineStr">
        <is>
          <t>SKÅNE LÄN</t>
        </is>
      </c>
      <c r="G80" t="inlineStr">
        <is>
          <t>HÖRBY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45128</v>
      </c>
      <c r="E81" s="1" t="n">
        <v>46308</v>
      </c>
      <c r="F81" t="inlineStr">
        <is>
          <t>SKÅNE LÄN</t>
        </is>
      </c>
      <c r="G81" t="inlineStr">
        <is>
          <t>HÖRBY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23606-2026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46162</v>
      </c>
      <c r="E82" s="1" t="n">
        <v>46308</v>
      </c>
      <c r="F82" t="inlineStr">
        <is>
          <t>SKÅNE LÄN</t>
        </is>
      </c>
      <c r="G82" t="inlineStr">
        <is>
          <t>HÖRBY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46213</v>
      </c>
      <c r="E83" s="1" t="n">
        <v>46308</v>
      </c>
      <c r="F83" t="inlineStr">
        <is>
          <t>SKÅNE LÄN</t>
        </is>
      </c>
      <c r="G83" t="inlineStr">
        <is>
          <t>HÖRBY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45970</v>
      </c>
      <c r="E84" s="1" t="n">
        <v>46308</v>
      </c>
      <c r="F84" t="inlineStr">
        <is>
          <t>SKÅNE LÄN</t>
        </is>
      </c>
      <c r="G84" t="inlineStr">
        <is>
          <t>HÖRBY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46218</v>
      </c>
      <c r="E85" s="1" t="n">
        <v>46308</v>
      </c>
      <c r="F85" t="inlineStr">
        <is>
          <t>SKÅNE LÄN</t>
        </is>
      </c>
      <c r="G85" t="inlineStr">
        <is>
          <t>HÖRBY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46308</v>
      </c>
      <c r="F86" t="inlineStr">
        <is>
          <t>SKÅNE LÄN</t>
        </is>
      </c>
      <c r="G86" t="inlineStr">
        <is>
          <t>HÖRBY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46308</v>
      </c>
      <c r="F87" t="inlineStr">
        <is>
          <t>SKÅNE LÄN</t>
        </is>
      </c>
      <c r="G87" t="inlineStr">
        <is>
          <t>HÖRBY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43711-2024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45569</v>
      </c>
      <c r="E88" s="1" t="n">
        <v>46308</v>
      </c>
      <c r="F88" t="inlineStr">
        <is>
          <t>SKÅNE LÄN</t>
        </is>
      </c>
      <c r="G88" t="inlineStr">
        <is>
          <t>HÖRBY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46308</v>
      </c>
      <c r="F89" t="inlineStr">
        <is>
          <t>SKÅNE LÄN</t>
        </is>
      </c>
      <c r="G89" t="inlineStr">
        <is>
          <t>HÖRBY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46308</v>
      </c>
      <c r="F90" t="inlineStr">
        <is>
          <t>SKÅNE LÄN</t>
        </is>
      </c>
      <c r="G90" t="inlineStr">
        <is>
          <t>HÖRBY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46308</v>
      </c>
      <c r="F91" t="inlineStr">
        <is>
          <t>SKÅNE LÄN</t>
        </is>
      </c>
      <c r="G91" t="inlineStr">
        <is>
          <t>HÖRBY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46308</v>
      </c>
      <c r="F92" t="inlineStr">
        <is>
          <t>SKÅNE LÄN</t>
        </is>
      </c>
      <c r="G92" t="inlineStr">
        <is>
          <t>HÖRBY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46308</v>
      </c>
      <c r="F93" t="inlineStr">
        <is>
          <t>SKÅNE LÄN</t>
        </is>
      </c>
      <c r="G93" t="inlineStr">
        <is>
          <t>HÖRBY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46308</v>
      </c>
      <c r="F94" t="inlineStr">
        <is>
          <t>SKÅNE LÄN</t>
        </is>
      </c>
      <c r="G94" t="inlineStr">
        <is>
          <t>HÖRBY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46308</v>
      </c>
      <c r="F95" t="inlineStr">
        <is>
          <t>SKÅNE LÄN</t>
        </is>
      </c>
      <c r="G95" t="inlineStr">
        <is>
          <t>HÖRBY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46308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46308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46308</v>
      </c>
      <c r="F98" t="inlineStr">
        <is>
          <t>SKÅNE LÄN</t>
        </is>
      </c>
      <c r="G98" t="inlineStr">
        <is>
          <t>HÖRBY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46280</v>
      </c>
      <c r="E99" s="1" t="n">
        <v>46308</v>
      </c>
      <c r="F99" t="inlineStr">
        <is>
          <t>SKÅNE LÄN</t>
        </is>
      </c>
      <c r="G99" t="inlineStr">
        <is>
          <t>HÖRBY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46308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46308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46308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46308</v>
      </c>
      <c r="F103" t="inlineStr">
        <is>
          <t>SKÅNE LÄN</t>
        </is>
      </c>
      <c r="G103" t="inlineStr">
        <is>
          <t>HÖRBY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32958-2025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45839</v>
      </c>
      <c r="E104" s="1" t="n">
        <v>46308</v>
      </c>
      <c r="F104" t="inlineStr">
        <is>
          <t>SKÅNE LÄN</t>
        </is>
      </c>
      <c r="G104" t="inlineStr">
        <is>
          <t>HÖRBY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45677</v>
      </c>
      <c r="E105" s="1" t="n">
        <v>46308</v>
      </c>
      <c r="F105" t="inlineStr">
        <is>
          <t>SKÅNE LÄN</t>
        </is>
      </c>
      <c r="G105" t="inlineStr">
        <is>
          <t>HÖRBY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32459-2025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45838</v>
      </c>
      <c r="E106" s="1" t="n">
        <v>46308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46308</v>
      </c>
      <c r="F107" t="inlineStr">
        <is>
          <t>SKÅNE LÄN</t>
        </is>
      </c>
      <c r="G107" t="inlineStr">
        <is>
          <t>HÖRBY</t>
        </is>
      </c>
      <c r="H107" t="inlineStr">
        <is>
          <t>Kyrkan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46308</v>
      </c>
      <c r="F108" t="inlineStr">
        <is>
          <t>SKÅNE LÄN</t>
        </is>
      </c>
      <c r="G108" t="inlineStr">
        <is>
          <t>HÖRBY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45541</v>
      </c>
      <c r="E109" s="1" t="n">
        <v>46308</v>
      </c>
      <c r="F109" t="inlineStr">
        <is>
          <t>SKÅNE LÄN</t>
        </is>
      </c>
      <c r="G109" t="inlineStr">
        <is>
          <t>HÖRBY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46274</v>
      </c>
      <c r="E110" s="1" t="n">
        <v>46308</v>
      </c>
      <c r="F110" t="inlineStr">
        <is>
          <t>SKÅNE LÄN</t>
        </is>
      </c>
      <c r="G110" t="inlineStr">
        <is>
          <t>HÖRBY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46308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38948-2026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46308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20047-2026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46308</v>
      </c>
      <c r="F113" t="inlineStr">
        <is>
          <t>SKÅNE LÄN</t>
        </is>
      </c>
      <c r="G113" t="inlineStr">
        <is>
          <t>HÖRBY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46308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46308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46308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45868</v>
      </c>
      <c r="E117" s="1" t="n">
        <v>46308</v>
      </c>
      <c r="F117" t="inlineStr">
        <is>
          <t>SKÅNE LÄN</t>
        </is>
      </c>
      <c r="G117" t="inlineStr">
        <is>
          <t>HÖRBY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39481-2026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46289</v>
      </c>
      <c r="E118" s="1" t="n">
        <v>46308</v>
      </c>
      <c r="F118" t="inlineStr">
        <is>
          <t>SKÅNE LÄN</t>
        </is>
      </c>
      <c r="G118" t="inlineStr">
        <is>
          <t>HÖRBY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28785-2023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45104</v>
      </c>
      <c r="E119" s="1" t="n">
        <v>46308</v>
      </c>
      <c r="F119" t="inlineStr">
        <is>
          <t>SKÅNE LÄN</t>
        </is>
      </c>
      <c r="G119" t="inlineStr">
        <is>
          <t>HÖRBY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46308</v>
      </c>
      <c r="F120" t="inlineStr">
        <is>
          <t>SKÅNE LÄN</t>
        </is>
      </c>
      <c r="G120" t="inlineStr">
        <is>
          <t>HÖRBY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46308</v>
      </c>
      <c r="F121" t="inlineStr">
        <is>
          <t>SKÅNE LÄN</t>
        </is>
      </c>
      <c r="G121" t="inlineStr">
        <is>
          <t>HÖRBY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46308</v>
      </c>
      <c r="F122" t="inlineStr">
        <is>
          <t>SKÅNE LÄN</t>
        </is>
      </c>
      <c r="G122" t="inlineStr">
        <is>
          <t>HÖRBY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46308</v>
      </c>
      <c r="F123" t="inlineStr">
        <is>
          <t>SKÅNE LÄN</t>
        </is>
      </c>
      <c r="G123" t="inlineStr">
        <is>
          <t>HÖRBY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46308</v>
      </c>
      <c r="F124" t="inlineStr">
        <is>
          <t>SKÅNE LÄN</t>
        </is>
      </c>
      <c r="G124" t="inlineStr">
        <is>
          <t>HÖRBY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46308</v>
      </c>
      <c r="F125" t="inlineStr">
        <is>
          <t>SKÅNE LÄN</t>
        </is>
      </c>
      <c r="G125" t="inlineStr">
        <is>
          <t>HÖRBY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46308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46308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45688</v>
      </c>
      <c r="E128" s="1" t="n">
        <v>46308</v>
      </c>
      <c r="F128" t="inlineStr">
        <is>
          <t>SKÅNE LÄN</t>
        </is>
      </c>
      <c r="G128" t="inlineStr">
        <is>
          <t>HÖRBY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46308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46308</v>
      </c>
      <c r="F130" t="inlineStr">
        <is>
          <t>SKÅNE LÄN</t>
        </is>
      </c>
      <c r="G130" t="inlineStr">
        <is>
          <t>HÖRBY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46308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46308</v>
      </c>
      <c r="F132" t="inlineStr">
        <is>
          <t>SKÅNE LÄN</t>
        </is>
      </c>
      <c r="G132" t="inlineStr">
        <is>
          <t>HÖRBY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46308</v>
      </c>
      <c r="F133" t="inlineStr">
        <is>
          <t>SKÅNE LÄN</t>
        </is>
      </c>
      <c r="G133" t="inlineStr">
        <is>
          <t>HÖRBY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46308</v>
      </c>
      <c r="F134" t="inlineStr">
        <is>
          <t>SKÅNE LÄN</t>
        </is>
      </c>
      <c r="G134" t="inlineStr">
        <is>
          <t>HÖRBY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46308</v>
      </c>
      <c r="F135" t="inlineStr">
        <is>
          <t>SKÅNE LÄN</t>
        </is>
      </c>
      <c r="G135" t="inlineStr">
        <is>
          <t>HÖRBY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46308</v>
      </c>
      <c r="F136" t="inlineStr">
        <is>
          <t>SKÅNE LÄN</t>
        </is>
      </c>
      <c r="G136" t="inlineStr">
        <is>
          <t>HÖRBY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46258</v>
      </c>
      <c r="E137" s="1" t="n">
        <v>46308</v>
      </c>
      <c r="F137" t="inlineStr">
        <is>
          <t>SKÅNE LÄN</t>
        </is>
      </c>
      <c r="G137" t="inlineStr">
        <is>
          <t>HÖRBY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46308</v>
      </c>
      <c r="F138" t="inlineStr">
        <is>
          <t>SKÅNE LÄN</t>
        </is>
      </c>
      <c r="G138" t="inlineStr">
        <is>
          <t>HÖRBY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46258</v>
      </c>
      <c r="E139" s="1" t="n">
        <v>46308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46308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13.1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46308</v>
      </c>
      <c r="F141" t="inlineStr">
        <is>
          <t>SKÅNE LÄN</t>
        </is>
      </c>
      <c r="G141" t="inlineStr">
        <is>
          <t>HÖRBY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46308</v>
      </c>
      <c r="F142" t="inlineStr">
        <is>
          <t>SKÅNE LÄN</t>
        </is>
      </c>
      <c r="G142" t="inlineStr">
        <is>
          <t>HÖRBY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46285</v>
      </c>
      <c r="E143" s="1" t="n">
        <v>46308</v>
      </c>
      <c r="F143" t="inlineStr">
        <is>
          <t>SKÅNE LÄN</t>
        </is>
      </c>
      <c r="G143" t="inlineStr">
        <is>
          <t>HÖRBY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46308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45166</v>
      </c>
      <c r="E145" s="1" t="n">
        <v>46308</v>
      </c>
      <c r="F145" t="inlineStr">
        <is>
          <t>SKÅNE LÄN</t>
        </is>
      </c>
      <c r="G145" t="inlineStr">
        <is>
          <t>HÖRBY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46308</v>
      </c>
      <c r="F146" t="inlineStr">
        <is>
          <t>SKÅNE LÄN</t>
        </is>
      </c>
      <c r="G146" t="inlineStr">
        <is>
          <t>HÖRBY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45551</v>
      </c>
      <c r="E147" s="1" t="n">
        <v>46308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46308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46308</v>
      </c>
      <c r="F149" t="inlineStr">
        <is>
          <t>SKÅNE LÄN</t>
        </is>
      </c>
      <c r="G149" t="inlineStr">
        <is>
          <t>HÖRBY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46308</v>
      </c>
      <c r="F150" t="inlineStr">
        <is>
          <t>SKÅNE LÄN</t>
        </is>
      </c>
      <c r="G150" t="inlineStr">
        <is>
          <t>HÖRBY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65073-2023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45287</v>
      </c>
      <c r="E151" s="1" t="n">
        <v>46308</v>
      </c>
      <c r="F151" t="inlineStr">
        <is>
          <t>SKÅNE LÄN</t>
        </is>
      </c>
      <c r="G151" t="inlineStr">
        <is>
          <t>HÖRBY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46308</v>
      </c>
      <c r="F152" t="inlineStr">
        <is>
          <t>SKÅNE LÄN</t>
        </is>
      </c>
      <c r="G152" t="inlineStr">
        <is>
          <t>HÖRBY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45104</v>
      </c>
      <c r="E153" s="1" t="n">
        <v>46308</v>
      </c>
      <c r="F153" t="inlineStr">
        <is>
          <t>SKÅNE LÄN</t>
        </is>
      </c>
      <c r="G153" t="inlineStr">
        <is>
          <t>HÖRBY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46308</v>
      </c>
      <c r="F154" t="inlineStr">
        <is>
          <t>SKÅNE LÄN</t>
        </is>
      </c>
      <c r="G154" t="inlineStr">
        <is>
          <t>HÖRBY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46308</v>
      </c>
      <c r="F155" t="inlineStr">
        <is>
          <t>SKÅNE LÄN</t>
        </is>
      </c>
      <c r="G155" t="inlineStr">
        <is>
          <t>HÖRBY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46308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46308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48427-2022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46308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46308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46308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46308</v>
      </c>
      <c r="F161" t="inlineStr">
        <is>
          <t>SKÅNE LÄN</t>
        </is>
      </c>
      <c r="G161" t="inlineStr">
        <is>
          <t>HÖRBY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46308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46308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46308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37082-2023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45155</v>
      </c>
      <c r="E165" s="1" t="n">
        <v>46308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46308</v>
      </c>
      <c r="F166" t="inlineStr">
        <is>
          <t>SKÅNE LÄN</t>
        </is>
      </c>
      <c r="G166" t="inlineStr">
        <is>
          <t>HÖRBY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46308</v>
      </c>
      <c r="F167" t="inlineStr">
        <is>
          <t>SKÅNE LÄN</t>
        </is>
      </c>
      <c r="G167" t="inlineStr">
        <is>
          <t>HÖRBY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46308</v>
      </c>
      <c r="F168" t="inlineStr">
        <is>
          <t>SKÅNE LÄN</t>
        </is>
      </c>
      <c r="G168" t="inlineStr">
        <is>
          <t>HÖRBY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46308</v>
      </c>
      <c r="F169" t="inlineStr">
        <is>
          <t>SKÅNE LÄN</t>
        </is>
      </c>
      <c r="G169" t="inlineStr">
        <is>
          <t>HÖRBY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46308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45190</v>
      </c>
      <c r="E171" s="1" t="n">
        <v>46308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46308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46308</v>
      </c>
      <c r="F173" t="inlineStr">
        <is>
          <t>SKÅNE LÄN</t>
        </is>
      </c>
      <c r="G173" t="inlineStr">
        <is>
          <t>HÖRBY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46308</v>
      </c>
      <c r="F174" t="inlineStr">
        <is>
          <t>SKÅNE LÄN</t>
        </is>
      </c>
      <c r="G174" t="inlineStr">
        <is>
          <t>HÖRBY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46308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67426-2021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46308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46308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46308</v>
      </c>
      <c r="F178" t="inlineStr">
        <is>
          <t>SKÅNE LÄN</t>
        </is>
      </c>
      <c r="G178" t="inlineStr">
        <is>
          <t>HÖRBY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43685-2022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46308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46308</v>
      </c>
      <c r="F180" t="inlineStr">
        <is>
          <t>SKÅNE LÄN</t>
        </is>
      </c>
      <c r="G180" t="inlineStr">
        <is>
          <t>HÖRBY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46308</v>
      </c>
      <c r="F181" t="inlineStr">
        <is>
          <t>SKÅNE LÄN</t>
        </is>
      </c>
      <c r="G181" t="inlineStr">
        <is>
          <t>HÖRBY</t>
        </is>
      </c>
      <c r="H181" t="inlineStr">
        <is>
          <t>Kyrkan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46308</v>
      </c>
      <c r="F182" t="inlineStr">
        <is>
          <t>SKÅNE LÄN</t>
        </is>
      </c>
      <c r="G182" t="inlineStr">
        <is>
          <t>HÖRBY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46308</v>
      </c>
      <c r="F183" t="inlineStr">
        <is>
          <t>SKÅNE LÄN</t>
        </is>
      </c>
      <c r="G183" t="inlineStr">
        <is>
          <t>HÖRBY</t>
        </is>
      </c>
      <c r="H183" t="inlineStr">
        <is>
          <t>Kyrkan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46308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46308</v>
      </c>
      <c r="F185" t="inlineStr">
        <is>
          <t>SKÅNE LÄN</t>
        </is>
      </c>
      <c r="G185" t="inlineStr">
        <is>
          <t>HÖRBY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46308</v>
      </c>
      <c r="F186" t="inlineStr">
        <is>
          <t>SKÅNE LÄN</t>
        </is>
      </c>
      <c r="G186" t="inlineStr">
        <is>
          <t>HÖRBY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46308</v>
      </c>
      <c r="F187" t="inlineStr">
        <is>
          <t>SKÅNE LÄN</t>
        </is>
      </c>
      <c r="G187" t="inlineStr">
        <is>
          <t>HÖRBY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46308</v>
      </c>
      <c r="F188" t="inlineStr">
        <is>
          <t>SKÅNE LÄN</t>
        </is>
      </c>
      <c r="G188" t="inlineStr">
        <is>
          <t>HÖRBY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46308</v>
      </c>
      <c r="F189" t="inlineStr">
        <is>
          <t>SKÅNE LÄN</t>
        </is>
      </c>
      <c r="G189" t="inlineStr">
        <is>
          <t>HÖRBY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46308</v>
      </c>
      <c r="F190" t="inlineStr">
        <is>
          <t>SKÅNE LÄN</t>
        </is>
      </c>
      <c r="G190" t="inlineStr">
        <is>
          <t>HÖRBY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36689-2024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45537</v>
      </c>
      <c r="E191" s="1" t="n">
        <v>46308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44775</v>
      </c>
      <c r="E192" s="1" t="n">
        <v>46308</v>
      </c>
      <c r="F192" t="inlineStr">
        <is>
          <t>SKÅNE LÄN</t>
        </is>
      </c>
      <c r="G192" t="inlineStr">
        <is>
          <t>HÖRBY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45616</v>
      </c>
      <c r="E193" s="1" t="n">
        <v>46308</v>
      </c>
      <c r="F193" t="inlineStr">
        <is>
          <t>SKÅNE LÄN</t>
        </is>
      </c>
      <c r="G193" t="inlineStr">
        <is>
          <t>HÖRBY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46308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46308</v>
      </c>
      <c r="F195" t="inlineStr">
        <is>
          <t>SKÅNE LÄN</t>
        </is>
      </c>
      <c r="G195" t="inlineStr">
        <is>
          <t>HÖRBY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46308</v>
      </c>
      <c r="F196" t="inlineStr">
        <is>
          <t>SKÅNE LÄN</t>
        </is>
      </c>
      <c r="G196" t="inlineStr">
        <is>
          <t>HÖRBY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44834</v>
      </c>
      <c r="E197" s="1" t="n">
        <v>46308</v>
      </c>
      <c r="F197" t="inlineStr">
        <is>
          <t>SKÅNE LÄN</t>
        </is>
      </c>
      <c r="G197" t="inlineStr">
        <is>
          <t>HÖRBY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46308</v>
      </c>
      <c r="F198" t="inlineStr">
        <is>
          <t>SKÅNE LÄN</t>
        </is>
      </c>
      <c r="G198" t="inlineStr">
        <is>
          <t>HÖRBY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46308</v>
      </c>
      <c r="F199" t="inlineStr">
        <is>
          <t>SKÅNE LÄN</t>
        </is>
      </c>
      <c r="G199" t="inlineStr">
        <is>
          <t>HÖRBY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46308</v>
      </c>
      <c r="F200" t="inlineStr">
        <is>
          <t>SKÅNE LÄN</t>
        </is>
      </c>
      <c r="G200" t="inlineStr">
        <is>
          <t>HÖRBY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46308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24724-2024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45460</v>
      </c>
      <c r="E202" s="1" t="n">
        <v>46308</v>
      </c>
      <c r="F202" t="inlineStr">
        <is>
          <t>SKÅNE LÄN</t>
        </is>
      </c>
      <c r="G202" t="inlineStr">
        <is>
          <t>HÖRBY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58641-2023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45251</v>
      </c>
      <c r="E203" s="1" t="n">
        <v>46308</v>
      </c>
      <c r="F203" t="inlineStr">
        <is>
          <t>SKÅNE LÄN</t>
        </is>
      </c>
      <c r="G203" t="inlineStr">
        <is>
          <t>HÖRBY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45316</v>
      </c>
      <c r="E204" s="1" t="n">
        <v>46308</v>
      </c>
      <c r="F204" t="inlineStr">
        <is>
          <t>SKÅNE LÄN</t>
        </is>
      </c>
      <c r="G204" t="inlineStr">
        <is>
          <t>HÖRBY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45405</v>
      </c>
      <c r="E205" s="1" t="n">
        <v>46308</v>
      </c>
      <c r="F205" t="inlineStr">
        <is>
          <t>SKÅNE LÄN</t>
        </is>
      </c>
      <c r="G205" t="inlineStr">
        <is>
          <t>HÖRBY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45043</v>
      </c>
      <c r="E206" s="1" t="n">
        <v>46308</v>
      </c>
      <c r="F206" t="inlineStr">
        <is>
          <t>SKÅNE LÄN</t>
        </is>
      </c>
      <c r="G206" t="inlineStr">
        <is>
          <t>HÖRBY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46308</v>
      </c>
      <c r="F207" t="inlineStr">
        <is>
          <t>SKÅNE LÄN</t>
        </is>
      </c>
      <c r="G207" t="inlineStr">
        <is>
          <t>HÖRBY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45105</v>
      </c>
      <c r="E208" s="1" t="n">
        <v>46308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46308</v>
      </c>
      <c r="F209" t="inlineStr">
        <is>
          <t>SKÅNE LÄN</t>
        </is>
      </c>
      <c r="G209" t="inlineStr">
        <is>
          <t>HÖRBY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34422-2024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45525</v>
      </c>
      <c r="E210" s="1" t="n">
        <v>46308</v>
      </c>
      <c r="F210" t="inlineStr">
        <is>
          <t>SKÅNE LÄN</t>
        </is>
      </c>
      <c r="G210" t="inlineStr">
        <is>
          <t>HÖRBY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46308</v>
      </c>
      <c r="F211" t="inlineStr">
        <is>
          <t>SKÅNE LÄN</t>
        </is>
      </c>
      <c r="G211" t="inlineStr">
        <is>
          <t>HÖRBY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46308</v>
      </c>
      <c r="F212" t="inlineStr">
        <is>
          <t>SKÅNE LÄN</t>
        </is>
      </c>
      <c r="G212" t="inlineStr">
        <is>
          <t>HÖRBY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46308</v>
      </c>
      <c r="F213" t="inlineStr">
        <is>
          <t>SKÅNE LÄN</t>
        </is>
      </c>
      <c r="G213" t="inlineStr">
        <is>
          <t>HÖRBY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46308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46308</v>
      </c>
      <c r="F215" t="inlineStr">
        <is>
          <t>SKÅNE LÄN</t>
        </is>
      </c>
      <c r="G215" t="inlineStr">
        <is>
          <t>HÖRBY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45602</v>
      </c>
      <c r="E216" s="1" t="n">
        <v>46308</v>
      </c>
      <c r="F216" t="inlineStr">
        <is>
          <t>SKÅNE LÄN</t>
        </is>
      </c>
      <c r="G216" t="inlineStr">
        <is>
          <t>HÖRBY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46308</v>
      </c>
      <c r="F217" t="inlineStr">
        <is>
          <t>SKÅNE LÄN</t>
        </is>
      </c>
      <c r="G217" t="inlineStr">
        <is>
          <t>HÖRBY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46308</v>
      </c>
      <c r="F218" t="inlineStr">
        <is>
          <t>SKÅNE LÄN</t>
        </is>
      </c>
      <c r="G218" t="inlineStr">
        <is>
          <t>HÖRBY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45203</v>
      </c>
      <c r="E219" s="1" t="n">
        <v>46308</v>
      </c>
      <c r="F219" t="inlineStr">
        <is>
          <t>SKÅNE LÄN</t>
        </is>
      </c>
      <c r="G219" t="inlineStr">
        <is>
          <t>HÖRBY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45521</v>
      </c>
      <c r="E220" s="1" t="n">
        <v>46308</v>
      </c>
      <c r="F220" t="inlineStr">
        <is>
          <t>SKÅNE LÄN</t>
        </is>
      </c>
      <c r="G220" t="inlineStr">
        <is>
          <t>HÖRBY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46308</v>
      </c>
      <c r="F221" t="inlineStr">
        <is>
          <t>SKÅNE LÄN</t>
        </is>
      </c>
      <c r="G221" t="inlineStr">
        <is>
          <t>HÖRBY</t>
        </is>
      </c>
      <c r="H221" t="inlineStr">
        <is>
          <t>Kyrkan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46308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46308</v>
      </c>
      <c r="F223" t="inlineStr">
        <is>
          <t>SKÅNE LÄN</t>
        </is>
      </c>
      <c r="G223" t="inlineStr">
        <is>
          <t>HÖRBY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46308</v>
      </c>
      <c r="F224" t="inlineStr">
        <is>
          <t>SKÅNE LÄN</t>
        </is>
      </c>
      <c r="G224" t="inlineStr">
        <is>
          <t>HÖRBY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45502</v>
      </c>
      <c r="E225" s="1" t="n">
        <v>46308</v>
      </c>
      <c r="F225" t="inlineStr">
        <is>
          <t>SKÅNE LÄN</t>
        </is>
      </c>
      <c r="G225" t="inlineStr">
        <is>
          <t>HÖRBY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45391</v>
      </c>
      <c r="E226" s="1" t="n">
        <v>46308</v>
      </c>
      <c r="F226" t="inlineStr">
        <is>
          <t>SKÅNE LÄN</t>
        </is>
      </c>
      <c r="G226" t="inlineStr">
        <is>
          <t>HÖRBY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46308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46308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46308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46308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46308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46308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46308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220-2026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46051</v>
      </c>
      <c r="E234" s="1" t="n">
        <v>46308</v>
      </c>
      <c r="F234" t="inlineStr">
        <is>
          <t>SKÅNE LÄN</t>
        </is>
      </c>
      <c r="G234" t="inlineStr">
        <is>
          <t>HÖRBY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2026-10-13T01:57:38Z</dcterms:created>
  <dcterms:modified xmlns:dcterms="http://purl.org/dc/terms/" xmlns:xsi="http://www.w3.org/2001/XMLSchema-instance" xsi:type="dcterms:W3CDTF">2026-10-13T01:57:38Z</dcterms:modified>
</cp:coreProperties>
</file>