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46255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46255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46255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46255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46255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46255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46255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46255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46255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46255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46255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46255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46255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46255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46255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46255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46255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46255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46255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46255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46255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25833-2024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45463</v>
      </c>
      <c r="E26" s="1" t="n">
        <v>46255</v>
      </c>
      <c r="F26" t="inlineStr">
        <is>
          <t>SKÅNE LÄN</t>
        </is>
      </c>
      <c r="G26" t="inlineStr">
        <is>
          <t>HÖRBY</t>
        </is>
      </c>
      <c r="I26" t="n">
        <v>1.4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</t>
        </is>
      </c>
      <c r="W26">
        <f>HYPERLINK("https://klasma.github.io/Logging_1266/artfynd/A 25833-2024 artfynd.xlsx", "A 25833-2024")</f>
        <v/>
      </c>
      <c r="X26">
        <f>HYPERLINK("https://klasma.github.io/Logging_1266/kartor/A 25833-2024 karta.png", "A 25833-2024")</f>
        <v/>
      </c>
      <c r="Y26">
        <f>HYPERLINK("https://klasma.github.io/Logging_1266/kartor_geotiff/A 25833-2024 georefererad karta.tif", "A 25833-2024")</f>
        <v/>
      </c>
      <c r="AA26">
        <f>HYPERLINK("https://klasma.github.io/Logging_1266/klagomål/A 25833-2024 FSC-klagomål.docx", "A 25833-2024")</f>
        <v/>
      </c>
      <c r="AB26">
        <f>HYPERLINK("https://klasma.github.io/Logging_1266/klagomålsmail/A 25833-2024 FSC-klagomål mail.docx", "A 25833-2024")</f>
        <v/>
      </c>
      <c r="AC26">
        <f>HYPERLINK("https://klasma.github.io/Logging_1266/tillsyn/A 25833-2024 tillsynsbegäran.docx", "A 25833-2024")</f>
        <v/>
      </c>
      <c r="AD26">
        <f>HYPERLINK("https://klasma.github.io/Logging_1266/tillsynsmail/A 25833-2024 tillsynsbegäran mail.docx", "A 25833-2024")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46255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31115-2024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45502</v>
      </c>
      <c r="E28" s="1" t="n">
        <v>46255</v>
      </c>
      <c r="F28" t="inlineStr">
        <is>
          <t>SKÅNE LÄN</t>
        </is>
      </c>
      <c r="G28" t="inlineStr">
        <is>
          <t>HÖRBY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HYPERLINK("https://klasma.github.io/Logging_1266/artfynd/A 31115-2024 artfynd.xlsx", "A 31115-2024")</f>
        <v/>
      </c>
      <c r="X28">
        <f>HYPERLINK("https://klasma.github.io/Logging_1266/kartor/A 31115-2024 karta.png", "A 31115-2024")</f>
        <v/>
      </c>
      <c r="Y28">
        <f>HYPERLINK("https://klasma.github.io/Logging_1266/kartor_geotiff/A 31115-2024 georefererad karta.tif", "A 31115-2024")</f>
        <v/>
      </c>
      <c r="AA28">
        <f>HYPERLINK("https://klasma.github.io/Logging_1266/klagomål/A 31115-2024 FSC-klagomål.docx", "A 31115-2024")</f>
        <v/>
      </c>
      <c r="AB28">
        <f>HYPERLINK("https://klasma.github.io/Logging_1266/klagomålsmail/A 31115-2024 FSC-klagomål mail.docx", "A 31115-2024")</f>
        <v/>
      </c>
      <c r="AC28">
        <f>HYPERLINK("https://klasma.github.io/Logging_1266/tillsyn/A 31115-2024 tillsynsbegäran.docx", "A 31115-2024")</f>
        <v/>
      </c>
      <c r="AD28">
        <f>HYPERLINK("https://klasma.github.io/Logging_1266/tillsynsmail/A 31115-2024 tillsynsbegäran mail.docx", "A 31115-2024")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46255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31284-2026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46218</v>
      </c>
      <c r="E30" s="1" t="n">
        <v>46255</v>
      </c>
      <c r="F30" t="inlineStr">
        <is>
          <t>SKÅNE LÄN</t>
        </is>
      </c>
      <c r="G30" t="inlineStr">
        <is>
          <t>HÖRBY</t>
        </is>
      </c>
      <c r="I30" t="n">
        <v>6.8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groda</t>
        </is>
      </c>
      <c r="W30">
        <f>HYPERLINK("https://klasma.github.io/Logging_1266/artfynd/A 31284-2026 artfynd.xlsx", "A 31284-2026")</f>
        <v/>
      </c>
      <c r="X30">
        <f>HYPERLINK("https://klasma.github.io/Logging_1266/kartor/A 31284-2026 karta.png", "A 31284-2026")</f>
        <v/>
      </c>
      <c r="Y30">
        <f>HYPERLINK("https://klasma.github.io/Logging_1266/kartor_geotiff/A 31284-2026 georefererad karta.tif", "A 31284-2026")</f>
        <v/>
      </c>
      <c r="AA30">
        <f>HYPERLINK("https://klasma.github.io/Logging_1266/klagomål/A 31284-2026 FSC-klagomål.docx", "A 31284-2026")</f>
        <v/>
      </c>
      <c r="AB30">
        <f>HYPERLINK("https://klasma.github.io/Logging_1266/klagomålsmail/A 31284-2026 FSC-klagomål mail.docx", "A 31284-2026")</f>
        <v/>
      </c>
      <c r="AC30">
        <f>HYPERLINK("https://klasma.github.io/Logging_1266/tillsyn/A 31284-2026 tillsynsbegäran.docx", "A 31284-2026")</f>
        <v/>
      </c>
      <c r="AD30">
        <f>HYPERLINK("https://klasma.github.io/Logging_1266/tillsynsmail/A 31284-2026 tillsynsbegäran mail.docx", "A 31284-2026")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46255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46255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46255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46255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46255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46255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46255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46255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46255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46255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46255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46255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46255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46255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46255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46255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46255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46255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46255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46255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46255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46255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46255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46255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46255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46255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46255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46255</v>
      </c>
      <c r="F58" t="inlineStr">
        <is>
          <t>SKÅNE LÄN</t>
        </is>
      </c>
      <c r="G58" t="inlineStr">
        <is>
          <t>HÖRBY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46255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37082-2023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45155</v>
      </c>
      <c r="E60" s="1" t="n">
        <v>46255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44944</v>
      </c>
      <c r="E61" s="1" t="n">
        <v>46255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46255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46255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46255</v>
      </c>
      <c r="F64" t="inlineStr">
        <is>
          <t>SKÅNE LÄN</t>
        </is>
      </c>
      <c r="G64" t="inlineStr">
        <is>
          <t>HÖRBY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46255</v>
      </c>
      <c r="F65" t="inlineStr">
        <is>
          <t>SKÅNE LÄN</t>
        </is>
      </c>
      <c r="G65" t="inlineStr">
        <is>
          <t>HÖRBY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28785-2023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45104</v>
      </c>
      <c r="E66" s="1" t="n">
        <v>46255</v>
      </c>
      <c r="F66" t="inlineStr">
        <is>
          <t>SKÅNE LÄN</t>
        </is>
      </c>
      <c r="G66" t="inlineStr">
        <is>
          <t>HÖRBY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46255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46255</v>
      </c>
      <c r="F68" t="inlineStr">
        <is>
          <t>SKÅNE LÄN</t>
        </is>
      </c>
      <c r="G68" t="inlineStr">
        <is>
          <t>HÖRBY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29244-2025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46255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46255</v>
      </c>
      <c r="F70" t="inlineStr">
        <is>
          <t>SKÅNE LÄN</t>
        </is>
      </c>
      <c r="G70" t="inlineStr">
        <is>
          <t>HÖRBY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45572</v>
      </c>
      <c r="E71" s="1" t="n">
        <v>46255</v>
      </c>
      <c r="F71" t="inlineStr">
        <is>
          <t>SKÅNE LÄN</t>
        </is>
      </c>
      <c r="G71" t="inlineStr">
        <is>
          <t>HÖRBY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46255</v>
      </c>
      <c r="F72" t="inlineStr">
        <is>
          <t>SKÅNE LÄN</t>
        </is>
      </c>
      <c r="G72" t="inlineStr">
        <is>
          <t>HÖRBY</t>
        </is>
      </c>
      <c r="H72" t="inlineStr">
        <is>
          <t>Kyrkan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46255</v>
      </c>
      <c r="F73" t="inlineStr">
        <is>
          <t>SKÅNE LÄN</t>
        </is>
      </c>
      <c r="G73" t="inlineStr">
        <is>
          <t>HÖRBY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46255</v>
      </c>
      <c r="F74" t="inlineStr">
        <is>
          <t>SKÅNE LÄN</t>
        </is>
      </c>
      <c r="G74" t="inlineStr">
        <is>
          <t>HÖRBY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46255</v>
      </c>
      <c r="F75" t="inlineStr">
        <is>
          <t>SKÅNE LÄN</t>
        </is>
      </c>
      <c r="G75" t="inlineStr">
        <is>
          <t>HÖRBY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46064</v>
      </c>
      <c r="E76" s="1" t="n">
        <v>46255</v>
      </c>
      <c r="F76" t="inlineStr">
        <is>
          <t>SKÅNE LÄN</t>
        </is>
      </c>
      <c r="G76" t="inlineStr">
        <is>
          <t>HÖRBY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46064</v>
      </c>
      <c r="E77" s="1" t="n">
        <v>46255</v>
      </c>
      <c r="F77" t="inlineStr">
        <is>
          <t>SKÅNE LÄN</t>
        </is>
      </c>
      <c r="G77" t="inlineStr">
        <is>
          <t>HÖRBY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46255</v>
      </c>
      <c r="F78" t="inlineStr">
        <is>
          <t>SKÅNE LÄN</t>
        </is>
      </c>
      <c r="G78" t="inlineStr">
        <is>
          <t>HÖRBY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8259-2026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46064</v>
      </c>
      <c r="E79" s="1" t="n">
        <v>46255</v>
      </c>
      <c r="F79" t="inlineStr">
        <is>
          <t>SKÅNE LÄN</t>
        </is>
      </c>
      <c r="G79" t="inlineStr">
        <is>
          <t>HÖRBY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46255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45390</v>
      </c>
      <c r="E81" s="1" t="n">
        <v>46255</v>
      </c>
      <c r="F81" t="inlineStr">
        <is>
          <t>SKÅNE LÄN</t>
        </is>
      </c>
      <c r="G81" t="inlineStr">
        <is>
          <t>HÖRBY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46255</v>
      </c>
      <c r="F82" t="inlineStr">
        <is>
          <t>SKÅNE LÄN</t>
        </is>
      </c>
      <c r="G82" t="inlineStr">
        <is>
          <t>HÖRBY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45251</v>
      </c>
      <c r="E83" s="1" t="n">
        <v>46255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45868</v>
      </c>
      <c r="E84" s="1" t="n">
        <v>46255</v>
      </c>
      <c r="F84" t="inlineStr">
        <is>
          <t>SKÅNE LÄN</t>
        </is>
      </c>
      <c r="G84" t="inlineStr">
        <is>
          <t>HÖRBY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46255</v>
      </c>
      <c r="F85" t="inlineStr">
        <is>
          <t>SKÅNE LÄN</t>
        </is>
      </c>
      <c r="G85" t="inlineStr">
        <is>
          <t>HÖRBY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46255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46255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46255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46255</v>
      </c>
      <c r="F89" t="inlineStr">
        <is>
          <t>SKÅNE LÄN</t>
        </is>
      </c>
      <c r="G89" t="inlineStr">
        <is>
          <t>HÖRBY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46255</v>
      </c>
      <c r="F90" t="inlineStr">
        <is>
          <t>SKÅNE LÄN</t>
        </is>
      </c>
      <c r="G90" t="inlineStr">
        <is>
          <t>HÖRBY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45882</v>
      </c>
      <c r="E91" s="1" t="n">
        <v>46255</v>
      </c>
      <c r="F91" t="inlineStr">
        <is>
          <t>SKÅNE LÄN</t>
        </is>
      </c>
      <c r="G91" t="inlineStr">
        <is>
          <t>HÖRBY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46255</v>
      </c>
      <c r="F92" t="inlineStr">
        <is>
          <t>SKÅNE LÄN</t>
        </is>
      </c>
      <c r="G92" t="inlineStr">
        <is>
          <t>HÖRBY</t>
        </is>
      </c>
      <c r="H92" t="inlineStr">
        <is>
          <t>Kyrkan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46255</v>
      </c>
      <c r="F93" t="inlineStr">
        <is>
          <t>SKÅNE LÄN</t>
        </is>
      </c>
      <c r="G93" t="inlineStr">
        <is>
          <t>HÖRBY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45677</v>
      </c>
      <c r="E94" s="1" t="n">
        <v>46255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46255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34422-2024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45525</v>
      </c>
      <c r="E96" s="1" t="n">
        <v>46255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46255</v>
      </c>
      <c r="F97" t="inlineStr">
        <is>
          <t>SKÅNE LÄN</t>
        </is>
      </c>
      <c r="G97" t="inlineStr">
        <is>
          <t>HÖRBY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46255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46255</v>
      </c>
      <c r="F99" t="inlineStr">
        <is>
          <t>SKÅNE LÄN</t>
        </is>
      </c>
      <c r="G99" t="inlineStr">
        <is>
          <t>HÖRBY</t>
        </is>
      </c>
      <c r="I99" t="n">
        <v>18.7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45187</v>
      </c>
      <c r="E100" s="1" t="n">
        <v>46255</v>
      </c>
      <c r="F100" t="inlineStr">
        <is>
          <t>SKÅNE LÄN</t>
        </is>
      </c>
      <c r="G100" t="inlineStr">
        <is>
          <t>HÖRBY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46255</v>
      </c>
      <c r="F101" t="inlineStr">
        <is>
          <t>SKÅNE LÄN</t>
        </is>
      </c>
      <c r="G101" t="inlineStr">
        <is>
          <t>HÖRBY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67426-2021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46255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45680</v>
      </c>
      <c r="E103" s="1" t="n">
        <v>46255</v>
      </c>
      <c r="F103" t="inlineStr">
        <is>
          <t>SKÅNE LÄN</t>
        </is>
      </c>
      <c r="G103" t="inlineStr">
        <is>
          <t>HÖRBY</t>
        </is>
      </c>
      <c r="H103" t="inlineStr">
        <is>
          <t>Kyrkan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46255</v>
      </c>
      <c r="F104" t="inlineStr">
        <is>
          <t>SKÅNE LÄN</t>
        </is>
      </c>
      <c r="G104" t="inlineStr">
        <is>
          <t>HÖRBY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51757-2025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45951</v>
      </c>
      <c r="E105" s="1" t="n">
        <v>46255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46255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46255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45043</v>
      </c>
      <c r="E108" s="1" t="n">
        <v>46255</v>
      </c>
      <c r="F108" t="inlineStr">
        <is>
          <t>SKÅNE LÄN</t>
        </is>
      </c>
      <c r="G108" t="inlineStr">
        <is>
          <t>HÖRBY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46255</v>
      </c>
      <c r="F109" t="inlineStr">
        <is>
          <t>SKÅNE LÄN</t>
        </is>
      </c>
      <c r="G109" t="inlineStr">
        <is>
          <t>HÖRBY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46255</v>
      </c>
      <c r="F110" t="inlineStr">
        <is>
          <t>SKÅNE LÄN</t>
        </is>
      </c>
      <c r="G110" t="inlineStr">
        <is>
          <t>HÖRBY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46255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46255</v>
      </c>
      <c r="F112" t="inlineStr">
        <is>
          <t>SKÅNE LÄN</t>
        </is>
      </c>
      <c r="G112" t="inlineStr">
        <is>
          <t>HÖRBY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46255</v>
      </c>
      <c r="F113" t="inlineStr">
        <is>
          <t>SKÅNE LÄN</t>
        </is>
      </c>
      <c r="G113" t="inlineStr">
        <is>
          <t>HÖRBY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46255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45261</v>
      </c>
      <c r="E115" s="1" t="n">
        <v>46255</v>
      </c>
      <c r="F115" t="inlineStr">
        <is>
          <t>SKÅNE LÄN</t>
        </is>
      </c>
      <c r="G115" t="inlineStr">
        <is>
          <t>HÖRBY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45979</v>
      </c>
      <c r="E116" s="1" t="n">
        <v>46255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46099</v>
      </c>
      <c r="E117" s="1" t="n">
        <v>46255</v>
      </c>
      <c r="F117" t="inlineStr">
        <is>
          <t>SKÅNE LÄN</t>
        </is>
      </c>
      <c r="G117" t="inlineStr">
        <is>
          <t>HÖRBY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46255</v>
      </c>
      <c r="F118" t="inlineStr">
        <is>
          <t>SKÅNE LÄN</t>
        </is>
      </c>
      <c r="G118" t="inlineStr">
        <is>
          <t>HÖRBY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44608</v>
      </c>
      <c r="E119" s="1" t="n">
        <v>46255</v>
      </c>
      <c r="F119" t="inlineStr">
        <is>
          <t>SKÅNE LÄN</t>
        </is>
      </c>
      <c r="G119" t="inlineStr">
        <is>
          <t>HÖRBY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46255</v>
      </c>
      <c r="F120" t="inlineStr">
        <is>
          <t>SKÅNE LÄN</t>
        </is>
      </c>
      <c r="G120" t="inlineStr">
        <is>
          <t>HÖRBY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46255</v>
      </c>
      <c r="F121" t="inlineStr">
        <is>
          <t>SKÅNE LÄN</t>
        </is>
      </c>
      <c r="G121" t="inlineStr">
        <is>
          <t>HÖRBY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46255</v>
      </c>
      <c r="F122" t="inlineStr">
        <is>
          <t>SKÅNE LÄN</t>
        </is>
      </c>
      <c r="G122" t="inlineStr">
        <is>
          <t>HÖRBY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46072</v>
      </c>
      <c r="E123" s="1" t="n">
        <v>46255</v>
      </c>
      <c r="F123" t="inlineStr">
        <is>
          <t>SKÅNE LÄN</t>
        </is>
      </c>
      <c r="G123" t="inlineStr">
        <is>
          <t>HÖRBY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46255</v>
      </c>
      <c r="F124" t="inlineStr">
        <is>
          <t>SKÅNE LÄN</t>
        </is>
      </c>
      <c r="G124" t="inlineStr">
        <is>
          <t>HÖRBY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46255</v>
      </c>
      <c r="F125" t="inlineStr">
        <is>
          <t>SKÅNE LÄN</t>
        </is>
      </c>
      <c r="G125" t="inlineStr">
        <is>
          <t>HÖRBY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45391</v>
      </c>
      <c r="E126" s="1" t="n">
        <v>46255</v>
      </c>
      <c r="F126" t="inlineStr">
        <is>
          <t>SKÅNE LÄN</t>
        </is>
      </c>
      <c r="G126" t="inlineStr">
        <is>
          <t>HÖRBY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46255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46255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46255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46255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46255</v>
      </c>
      <c r="F131" t="inlineStr">
        <is>
          <t>SKÅNE LÄN</t>
        </is>
      </c>
      <c r="G131" t="inlineStr">
        <is>
          <t>HÖRBY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46255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46255</v>
      </c>
      <c r="F133" t="inlineStr">
        <is>
          <t>SKÅNE LÄN</t>
        </is>
      </c>
      <c r="G133" t="inlineStr">
        <is>
          <t>HÖRBY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46255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45034</v>
      </c>
      <c r="E135" s="1" t="n">
        <v>46255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46255</v>
      </c>
      <c r="F136" t="inlineStr">
        <is>
          <t>SKÅNE LÄN</t>
        </is>
      </c>
      <c r="G136" t="inlineStr">
        <is>
          <t>HÖRBY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45315</v>
      </c>
      <c r="E137" s="1" t="n">
        <v>46255</v>
      </c>
      <c r="F137" t="inlineStr">
        <is>
          <t>SKÅNE LÄN</t>
        </is>
      </c>
      <c r="G137" t="inlineStr">
        <is>
          <t>HÖRBY</t>
        </is>
      </c>
      <c r="H137" t="inlineStr">
        <is>
          <t>Kyrkan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46255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46050</v>
      </c>
      <c r="E139" s="1" t="n">
        <v>46255</v>
      </c>
      <c r="F139" t="inlineStr">
        <is>
          <t>SKÅNE LÄN</t>
        </is>
      </c>
      <c r="G139" t="inlineStr">
        <is>
          <t>HÖRBY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46255</v>
      </c>
      <c r="F140" t="inlineStr">
        <is>
          <t>SKÅNE LÄN</t>
        </is>
      </c>
      <c r="G140" t="inlineStr">
        <is>
          <t>HÖRBY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46255</v>
      </c>
      <c r="F141" t="inlineStr">
        <is>
          <t>SKÅNE LÄN</t>
        </is>
      </c>
      <c r="G141" t="inlineStr">
        <is>
          <t>HÖRBY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46255</v>
      </c>
      <c r="F142" t="inlineStr">
        <is>
          <t>SKÅNE LÄN</t>
        </is>
      </c>
      <c r="G142" t="inlineStr">
        <is>
          <t>HÖRBY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46255</v>
      </c>
      <c r="F143" t="inlineStr">
        <is>
          <t>SKÅNE LÄN</t>
        </is>
      </c>
      <c r="G143" t="inlineStr">
        <is>
          <t>HÖRBY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46255</v>
      </c>
      <c r="F144" t="inlineStr">
        <is>
          <t>SKÅNE LÄN</t>
        </is>
      </c>
      <c r="G144" t="inlineStr">
        <is>
          <t>HÖRBY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45316</v>
      </c>
      <c r="E145" s="1" t="n">
        <v>46255</v>
      </c>
      <c r="F145" t="inlineStr">
        <is>
          <t>SKÅNE LÄN</t>
        </is>
      </c>
      <c r="G145" t="inlineStr">
        <is>
          <t>HÖRBY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46255</v>
      </c>
      <c r="F146" t="inlineStr">
        <is>
          <t>SKÅNE LÄN</t>
        </is>
      </c>
      <c r="G146" t="inlineStr">
        <is>
          <t>HÖRBY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46255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45287</v>
      </c>
      <c r="E148" s="1" t="n">
        <v>46255</v>
      </c>
      <c r="F148" t="inlineStr">
        <is>
          <t>SKÅNE LÄN</t>
        </is>
      </c>
      <c r="G148" t="inlineStr">
        <is>
          <t>HÖRBY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46255</v>
      </c>
      <c r="F149" t="inlineStr">
        <is>
          <t>SKÅNE LÄN</t>
        </is>
      </c>
      <c r="G149" t="inlineStr">
        <is>
          <t>HÖRBY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46255</v>
      </c>
      <c r="F150" t="inlineStr">
        <is>
          <t>SKÅNE LÄN</t>
        </is>
      </c>
      <c r="G150" t="inlineStr">
        <is>
          <t>HÖRBY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46255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45680</v>
      </c>
      <c r="E152" s="1" t="n">
        <v>46255</v>
      </c>
      <c r="F152" t="inlineStr">
        <is>
          <t>SKÅNE LÄN</t>
        </is>
      </c>
      <c r="G152" t="inlineStr">
        <is>
          <t>HÖRBY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46255</v>
      </c>
      <c r="F153" t="inlineStr">
        <is>
          <t>SKÅNE LÄN</t>
        </is>
      </c>
      <c r="G153" t="inlineStr">
        <is>
          <t>HÖRBY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46255</v>
      </c>
      <c r="F154" t="inlineStr">
        <is>
          <t>SKÅNE LÄN</t>
        </is>
      </c>
      <c r="G154" t="inlineStr">
        <is>
          <t>HÖRBY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45521</v>
      </c>
      <c r="E155" s="1" t="n">
        <v>46255</v>
      </c>
      <c r="F155" t="inlineStr">
        <is>
          <t>SKÅNE LÄN</t>
        </is>
      </c>
      <c r="G155" t="inlineStr">
        <is>
          <t>HÖRBY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46255</v>
      </c>
      <c r="F156" t="inlineStr">
        <is>
          <t>SKÅNE LÄN</t>
        </is>
      </c>
      <c r="G156" t="inlineStr">
        <is>
          <t>HÖRBY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46255</v>
      </c>
      <c r="F157" t="inlineStr">
        <is>
          <t>SKÅNE LÄN</t>
        </is>
      </c>
      <c r="G157" t="inlineStr">
        <is>
          <t>HÖRBY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46255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46255</v>
      </c>
      <c r="F159" t="inlineStr">
        <is>
          <t>SKÅNE LÄN</t>
        </is>
      </c>
      <c r="G159" t="inlineStr">
        <is>
          <t>HÖRBY</t>
        </is>
      </c>
      <c r="H159" t="inlineStr">
        <is>
          <t>Kyrkan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47637-2023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46255</v>
      </c>
      <c r="F160" t="inlineStr">
        <is>
          <t>SKÅNE LÄN</t>
        </is>
      </c>
      <c r="G160" t="inlineStr">
        <is>
          <t>HÖRBY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24670-2024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45460</v>
      </c>
      <c r="E161" s="1" t="n">
        <v>46255</v>
      </c>
      <c r="F161" t="inlineStr">
        <is>
          <t>SKÅNE LÄN</t>
        </is>
      </c>
      <c r="G161" t="inlineStr">
        <is>
          <t>HÖRBY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46255</v>
      </c>
      <c r="F162" t="inlineStr">
        <is>
          <t>SKÅNE LÄN</t>
        </is>
      </c>
      <c r="G162" t="inlineStr">
        <is>
          <t>HÖRBY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46255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46255</v>
      </c>
      <c r="F164" t="inlineStr">
        <is>
          <t>SKÅNE LÄN</t>
        </is>
      </c>
      <c r="G164" t="inlineStr">
        <is>
          <t>HÖRBY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46255</v>
      </c>
      <c r="F165" t="inlineStr">
        <is>
          <t>SKÅNE LÄN</t>
        </is>
      </c>
      <c r="G165" t="inlineStr">
        <is>
          <t>HÖRBY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44814</v>
      </c>
      <c r="E166" s="1" t="n">
        <v>46255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37757-2024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46255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46255</v>
      </c>
      <c r="F168" t="inlineStr">
        <is>
          <t>SKÅNE LÄN</t>
        </is>
      </c>
      <c r="G168" t="inlineStr">
        <is>
          <t>HÖRBY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46255</v>
      </c>
      <c r="F169" t="inlineStr">
        <is>
          <t>SKÅNE LÄN</t>
        </is>
      </c>
      <c r="G169" t="inlineStr">
        <is>
          <t>HÖRBY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46255</v>
      </c>
      <c r="F170" t="inlineStr">
        <is>
          <t>SKÅNE LÄN</t>
        </is>
      </c>
      <c r="G170" t="inlineStr">
        <is>
          <t>HÖRBY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46213</v>
      </c>
      <c r="E171" s="1" t="n">
        <v>46255</v>
      </c>
      <c r="F171" t="inlineStr">
        <is>
          <t>SKÅNE LÄN</t>
        </is>
      </c>
      <c r="G171" t="inlineStr">
        <is>
          <t>HÖRBY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46255</v>
      </c>
      <c r="F172" t="inlineStr">
        <is>
          <t>SKÅNE LÄN</t>
        </is>
      </c>
      <c r="G172" t="inlineStr">
        <is>
          <t>HÖRBY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45540</v>
      </c>
      <c r="E173" s="1" t="n">
        <v>46255</v>
      </c>
      <c r="F173" t="inlineStr">
        <is>
          <t>SKÅNE LÄN</t>
        </is>
      </c>
      <c r="G173" t="inlineStr">
        <is>
          <t>HÖRBY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45762</v>
      </c>
      <c r="E174" s="1" t="n">
        <v>46255</v>
      </c>
      <c r="F174" t="inlineStr">
        <is>
          <t>SKÅNE LÄN</t>
        </is>
      </c>
      <c r="G174" t="inlineStr">
        <is>
          <t>HÖRBY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46255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46255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46255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43685-2022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46255</v>
      </c>
      <c r="F178" t="inlineStr">
        <is>
          <t>SKÅNE LÄN</t>
        </is>
      </c>
      <c r="G178" t="inlineStr">
        <is>
          <t>HÖRBY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24724-2024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45460</v>
      </c>
      <c r="E179" s="1" t="n">
        <v>46255</v>
      </c>
      <c r="F179" t="inlineStr">
        <is>
          <t>SKÅNE LÄN</t>
        </is>
      </c>
      <c r="G179" t="inlineStr">
        <is>
          <t>HÖRBY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46041</v>
      </c>
      <c r="E180" s="1" t="n">
        <v>46255</v>
      </c>
      <c r="F180" t="inlineStr">
        <is>
          <t>SKÅNE LÄN</t>
        </is>
      </c>
      <c r="G180" t="inlineStr">
        <is>
          <t>HÖRBY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6558-2025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45699</v>
      </c>
      <c r="E181" s="1" t="n">
        <v>46255</v>
      </c>
      <c r="F181" t="inlineStr">
        <is>
          <t>SKÅNE LÄN</t>
        </is>
      </c>
      <c r="G181" t="inlineStr">
        <is>
          <t>HÖRBY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46255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44775</v>
      </c>
      <c r="E183" s="1" t="n">
        <v>46255</v>
      </c>
      <c r="F183" t="inlineStr">
        <is>
          <t>SKÅNE LÄN</t>
        </is>
      </c>
      <c r="G183" t="inlineStr">
        <is>
          <t>HÖRBY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46255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46255</v>
      </c>
      <c r="F185" t="inlineStr">
        <is>
          <t>SKÅNE LÄN</t>
        </is>
      </c>
      <c r="G185" t="inlineStr">
        <is>
          <t>HÖRBY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46255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46255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46255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45988</v>
      </c>
      <c r="E189" s="1" t="n">
        <v>46255</v>
      </c>
      <c r="F189" t="inlineStr">
        <is>
          <t>SKÅNE LÄN</t>
        </is>
      </c>
      <c r="G189" t="inlineStr">
        <is>
          <t>HÖRBY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45688</v>
      </c>
      <c r="E190" s="1" t="n">
        <v>46255</v>
      </c>
      <c r="F190" t="inlineStr">
        <is>
          <t>SKÅNE LÄN</t>
        </is>
      </c>
      <c r="G190" t="inlineStr">
        <is>
          <t>HÖRBY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45128</v>
      </c>
      <c r="E191" s="1" t="n">
        <v>46255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45551</v>
      </c>
      <c r="E192" s="1" t="n">
        <v>46255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41940-2022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44833</v>
      </c>
      <c r="E193" s="1" t="n">
        <v>46255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46255</v>
      </c>
      <c r="F194" t="inlineStr">
        <is>
          <t>SKÅNE LÄN</t>
        </is>
      </c>
      <c r="G194" t="inlineStr">
        <is>
          <t>HÖRBY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46255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46255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45970</v>
      </c>
      <c r="E197" s="1" t="n">
        <v>46255</v>
      </c>
      <c r="F197" t="inlineStr">
        <is>
          <t>SKÅNE LÄN</t>
        </is>
      </c>
      <c r="G197" t="inlineStr">
        <is>
          <t>HÖRBY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46255</v>
      </c>
      <c r="F198" t="inlineStr">
        <is>
          <t>SKÅNE LÄN</t>
        </is>
      </c>
      <c r="G198" t="inlineStr">
        <is>
          <t>HÖRBY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44693</v>
      </c>
      <c r="E199" s="1" t="n">
        <v>46255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46255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29138-2026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46202</v>
      </c>
      <c r="E201" s="1" t="n">
        <v>46255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29135-2026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46202</v>
      </c>
      <c r="E202" s="1" t="n">
        <v>46255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29137-2026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46202</v>
      </c>
      <c r="E203" s="1" t="n">
        <v>46255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46202</v>
      </c>
      <c r="E204" s="1" t="n">
        <v>46255</v>
      </c>
      <c r="F204" t="inlineStr">
        <is>
          <t>SKÅNE LÄN</t>
        </is>
      </c>
      <c r="G204" t="inlineStr">
        <is>
          <t>HÖRBY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46255</v>
      </c>
      <c r="F205" t="inlineStr">
        <is>
          <t>SKÅNE LÄN</t>
        </is>
      </c>
      <c r="G205" t="inlineStr">
        <is>
          <t>HÖRBY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45261</v>
      </c>
      <c r="E206" s="1" t="n">
        <v>46255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23606-2026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46162</v>
      </c>
      <c r="E207" s="1" t="n">
        <v>46255</v>
      </c>
      <c r="F207" t="inlineStr">
        <is>
          <t>SKÅNE LÄN</t>
        </is>
      </c>
      <c r="G207" t="inlineStr">
        <is>
          <t>HÖRBY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46255</v>
      </c>
      <c r="F208" t="inlineStr">
        <is>
          <t>SKÅNE LÄN</t>
        </is>
      </c>
      <c r="G208" t="inlineStr">
        <is>
          <t>HÖRBY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46255</v>
      </c>
      <c r="F209" t="inlineStr">
        <is>
          <t>SKÅNE LÄN</t>
        </is>
      </c>
      <c r="G209" t="inlineStr">
        <is>
          <t>HÖRBY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45224</v>
      </c>
      <c r="E210" s="1" t="n">
        <v>46255</v>
      </c>
      <c r="F210" t="inlineStr">
        <is>
          <t>SKÅNE LÄN</t>
        </is>
      </c>
      <c r="G210" t="inlineStr">
        <is>
          <t>HÖRBY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46255</v>
      </c>
      <c r="F211" t="inlineStr">
        <is>
          <t>SKÅNE LÄN</t>
        </is>
      </c>
      <c r="G211" t="inlineStr">
        <is>
          <t>HÖRBY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46255</v>
      </c>
      <c r="F212" t="inlineStr">
        <is>
          <t>SKÅNE LÄN</t>
        </is>
      </c>
      <c r="G212" t="inlineStr">
        <is>
          <t>HÖRBY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43711-2024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45569</v>
      </c>
      <c r="E213" s="1" t="n">
        <v>46255</v>
      </c>
      <c r="F213" t="inlineStr">
        <is>
          <t>SKÅNE LÄN</t>
        </is>
      </c>
      <c r="G213" t="inlineStr">
        <is>
          <t>HÖRBY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46255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46255</v>
      </c>
      <c r="F215" t="inlineStr">
        <is>
          <t>SKÅNE LÄN</t>
        </is>
      </c>
      <c r="G215" t="inlineStr">
        <is>
          <t>HÖRBY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46255</v>
      </c>
      <c r="F216" t="inlineStr">
        <is>
          <t>SKÅNE LÄN</t>
        </is>
      </c>
      <c r="G216" t="inlineStr">
        <is>
          <t>HÖRBY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3888-2023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45230</v>
      </c>
      <c r="E217" s="1" t="n">
        <v>46255</v>
      </c>
      <c r="F217" t="inlineStr">
        <is>
          <t>SKÅNE LÄN</t>
        </is>
      </c>
      <c r="G217" t="inlineStr">
        <is>
          <t>HÖRBY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4691-2022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44796</v>
      </c>
      <c r="E218" s="1" t="n">
        <v>46255</v>
      </c>
      <c r="F218" t="inlineStr">
        <is>
          <t>SKÅNE LÄN</t>
        </is>
      </c>
      <c r="G218" t="inlineStr">
        <is>
          <t>HÖRBY</t>
        </is>
      </c>
      <c r="I218" t="n">
        <v>39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734-2025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45722</v>
      </c>
      <c r="E219" s="1" t="n">
        <v>46255</v>
      </c>
      <c r="F219" t="inlineStr">
        <is>
          <t>SKÅNE LÄN</t>
        </is>
      </c>
      <c r="G219" t="inlineStr">
        <is>
          <t>HÖRBY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144-2026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46042</v>
      </c>
      <c r="E220" s="1" t="n">
        <v>46255</v>
      </c>
      <c r="F220" t="inlineStr">
        <is>
          <t>SKÅNE LÄN</t>
        </is>
      </c>
      <c r="G220" t="inlineStr">
        <is>
          <t>HÖRBY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220-2026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46051</v>
      </c>
      <c r="E221" s="1" t="n">
        <v>46255</v>
      </c>
      <c r="F221" t="inlineStr">
        <is>
          <t>SKÅNE LÄN</t>
        </is>
      </c>
      <c r="G221" t="inlineStr">
        <is>
          <t>HÖRBY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1874-2026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46255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1875-2026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46255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1873-2026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46255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2026-08-21T01:51:28Z</dcterms:modified>
</cp:coreProperties>
</file>