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46259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46259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46259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46259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46259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46259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46259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31351-2022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44774</v>
      </c>
      <c r="E9" s="1" t="n">
        <v>46259</v>
      </c>
      <c r="F9" t="inlineStr">
        <is>
          <t>SKÅNE LÄN</t>
        </is>
      </c>
      <c r="G9" t="inlineStr">
        <is>
          <t>HÖRBY</t>
        </is>
      </c>
      <c r="I9" t="n">
        <v>13.2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3</v>
      </c>
      <c r="V9" s="2" t="inlineStr">
        <is>
          <t>Duvhök
Grönsångare
Sädesärla
Fjällvråk
Kungsfågel</t>
        </is>
      </c>
      <c r="W9">
        <f>HYPERLINK("https://klasma.github.io/Logging_1266/artfynd/A 31351-2022 artfynd.xlsx", "A 31351-2022")</f>
        <v/>
      </c>
      <c r="X9">
        <f>HYPERLINK("https://klasma.github.io/Logging_1266/kartor/A 31351-2022 karta.png", "A 31351-2022")</f>
        <v/>
      </c>
      <c r="Y9">
        <f>HYPERLINK("https://klasma.github.io/Logging_1266/kartor_geotiff/A 31351-2022 georefererad karta.tif", "A 31351-2022")</f>
        <v/>
      </c>
      <c r="AA9">
        <f>HYPERLINK("https://klasma.github.io/Logging_1266/klagomål/A 31351-2022 FSC-klagomål.docx", "A 31351-2022")</f>
        <v/>
      </c>
      <c r="AB9">
        <f>HYPERLINK("https://klasma.github.io/Logging_1266/klagomålsmail/A 31351-2022 FSC-klagomål mail.docx", "A 31351-2022")</f>
        <v/>
      </c>
      <c r="AC9">
        <f>HYPERLINK("https://klasma.github.io/Logging_1266/tillsyn/A 31351-2022 tillsynsbegäran.docx", "A 31351-2022")</f>
        <v/>
      </c>
      <c r="AD9">
        <f>HYPERLINK("https://klasma.github.io/Logging_1266/tillsynsmail/A 31351-2022 tillsynsbegäran mail.docx", "A 31351-2022")</f>
        <v/>
      </c>
      <c r="AE9">
        <f>HYPERLINK("https://klasma.github.io/Logging_1266/fåglar/A 31351-2022 prioriterade fågelarter.docx", "A 31351-2022")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46259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16520-2026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46112</v>
      </c>
      <c r="E11" s="1" t="n">
        <v>46259</v>
      </c>
      <c r="F11" t="inlineStr">
        <is>
          <t>SKÅNE LÄN</t>
        </is>
      </c>
      <c r="G11" t="inlineStr">
        <is>
          <t>HÖRBY</t>
        </is>
      </c>
      <c r="I11" t="n">
        <v>2.3</v>
      </c>
      <c r="J11" t="n">
        <v>2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6</v>
      </c>
      <c r="U11" t="n">
        <v>0</v>
      </c>
      <c r="V11" s="2" t="inlineStr">
        <is>
          <t>Slåttergubbe
Sydlig sotticka
Älg
Fiskgjuse
Större brunfladdermus</t>
        </is>
      </c>
      <c r="W11">
        <f>HYPERLINK("https://klasma.github.io/Logging_1266/artfynd/A 16520-2026 artfynd.xlsx", "A 16520-2026")</f>
        <v/>
      </c>
      <c r="X11">
        <f>HYPERLINK("https://klasma.github.io/Logging_1266/kartor/A 16520-2026 karta.png", "A 16520-2026")</f>
        <v/>
      </c>
      <c r="Y11">
        <f>HYPERLINK("https://klasma.github.io/Logging_1266/kartor_geotiff/A 16520-2026 georefererad karta.tif", "A 16520-2026")</f>
        <v/>
      </c>
      <c r="AA11">
        <f>HYPERLINK("https://klasma.github.io/Logging_1266/klagomål/A 16520-2026 FSC-klagomål.docx", "A 16520-2026")</f>
        <v/>
      </c>
      <c r="AB11">
        <f>HYPERLINK("https://klasma.github.io/Logging_1266/klagomålsmail/A 16520-2026 FSC-klagomål mail.docx", "A 16520-2026")</f>
        <v/>
      </c>
      <c r="AC11">
        <f>HYPERLINK("https://klasma.github.io/Logging_1266/tillsyn/A 16520-2026 tillsynsbegäran.docx", "A 16520-2026")</f>
        <v/>
      </c>
      <c r="AD11">
        <f>HYPERLINK("https://klasma.github.io/Logging_1266/tillsynsmail/A 16520-2026 tillsynsbegäran mail.docx", "A 16520-2026")</f>
        <v/>
      </c>
      <c r="AE11">
        <f>HYPERLINK("https://klasma.github.io/Logging_1266/fåglar/A 16520-2026 prioriterade fågelarter.docx", "A 16520-2026")</f>
        <v/>
      </c>
    </row>
    <row r="12" ht="15" customHeight="1">
      <c r="A12" t="inlineStr">
        <is>
          <t>A 21774-2026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46150</v>
      </c>
      <c r="E12" s="1" t="n">
        <v>46259</v>
      </c>
      <c r="F12" t="inlineStr">
        <is>
          <t>SKÅNE LÄN</t>
        </is>
      </c>
      <c r="G12" t="inlineStr">
        <is>
          <t>HÖRBY</t>
        </is>
      </c>
      <c r="I12" t="n">
        <v>1.2</v>
      </c>
      <c r="J12" t="n">
        <v>0</v>
      </c>
      <c r="K12" t="n">
        <v>0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6</v>
      </c>
      <c r="U12" t="n">
        <v>0</v>
      </c>
      <c r="V12" s="2" t="inlineStr">
        <is>
          <t>Violettkantad guldvinge
Granspira
Sotnätfjäril
Svinrot</t>
        </is>
      </c>
      <c r="W12">
        <f>HYPERLINK("https://klasma.github.io/Logging_1266/artfynd/A 21774-2026 artfynd.xlsx", "A 21774-2026")</f>
        <v/>
      </c>
      <c r="X12">
        <f>HYPERLINK("https://klasma.github.io/Logging_1266/kartor/A 21774-2026 karta.png", "A 21774-2026")</f>
        <v/>
      </c>
      <c r="Y12">
        <f>HYPERLINK("https://klasma.github.io/Logging_1266/kartor_geotiff/A 21774-2026 georefererad karta.tif", "A 21774-2026")</f>
        <v/>
      </c>
      <c r="AA12">
        <f>HYPERLINK("https://klasma.github.io/Logging_1266/klagomål/A 21774-2026 FSC-klagomål.docx", "A 21774-2026")</f>
        <v/>
      </c>
      <c r="AB12">
        <f>HYPERLINK("https://klasma.github.io/Logging_1266/klagomålsmail/A 21774-2026 FSC-klagomål mail.docx", "A 21774-2026")</f>
        <v/>
      </c>
      <c r="AC12">
        <f>HYPERLINK("https://klasma.github.io/Logging_1266/tillsyn/A 21774-2026 tillsynsbegäran.docx", "A 21774-2026")</f>
        <v/>
      </c>
      <c r="AD12">
        <f>HYPERLINK("https://klasma.github.io/Logging_1266/tillsynsmail/A 21774-2026 tillsynsbegäran mail.docx", "A 21774-2026")</f>
        <v/>
      </c>
    </row>
    <row r="13" ht="15" customHeight="1">
      <c r="A13" t="inlineStr">
        <is>
          <t>A 38084-2024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46259</v>
      </c>
      <c r="F13" t="inlineStr">
        <is>
          <t>SKÅNE LÄN</t>
        </is>
      </c>
      <c r="G13" t="inlineStr">
        <is>
          <t>HÖRBY</t>
        </is>
      </c>
      <c r="I13" t="n">
        <v>0.5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Myskmadra
Skogsbräsma
Tandrot
Grönsiska</t>
        </is>
      </c>
      <c r="W13">
        <f>HYPERLINK("https://klasma.github.io/Logging_1266/artfynd/A 38084-2024 artfynd.xlsx", "A 38084-2024")</f>
        <v/>
      </c>
      <c r="X13">
        <f>HYPERLINK("https://klasma.github.io/Logging_1266/kartor/A 38084-2024 karta.png", "A 38084-2024")</f>
        <v/>
      </c>
      <c r="Y13">
        <f>HYPERLINK("https://klasma.github.io/Logging_1266/kartor_geotiff/A 38084-2024 georefererad karta.tif", "A 38084-2024")</f>
        <v/>
      </c>
      <c r="AA13">
        <f>HYPERLINK("https://klasma.github.io/Logging_1266/klagomål/A 38084-2024 FSC-klagomål.docx", "A 38084-2024")</f>
        <v/>
      </c>
      <c r="AB13">
        <f>HYPERLINK("https://klasma.github.io/Logging_1266/klagomålsmail/A 38084-2024 FSC-klagomål mail.docx", "A 38084-2024")</f>
        <v/>
      </c>
      <c r="AC13">
        <f>HYPERLINK("https://klasma.github.io/Logging_1266/tillsyn/A 38084-2024 tillsynsbegäran.docx", "A 38084-2024")</f>
        <v/>
      </c>
      <c r="AD13">
        <f>HYPERLINK("https://klasma.github.io/Logging_1266/tillsynsmail/A 38084-2024 tillsynsbegäran mail.docx", "A 38084-2024")</f>
        <v/>
      </c>
    </row>
    <row r="14" ht="15" customHeight="1">
      <c r="A14" t="inlineStr">
        <is>
          <t>A 5619-2024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45334</v>
      </c>
      <c r="E14" s="1" t="n">
        <v>46259</v>
      </c>
      <c r="F14" t="inlineStr">
        <is>
          <t>SKÅNE LÄN</t>
        </is>
      </c>
      <c r="G14" t="inlineStr">
        <is>
          <t>HÖRBY</t>
        </is>
      </c>
      <c r="I14" t="n">
        <v>4.6</v>
      </c>
      <c r="J14" t="n">
        <v>0</v>
      </c>
      <c r="K14" t="n">
        <v>1</v>
      </c>
      <c r="L14" t="n">
        <v>1</v>
      </c>
      <c r="M14" t="n">
        <v>0</v>
      </c>
      <c r="N14" t="n">
        <v>2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7</v>
      </c>
      <c r="U14" t="n">
        <v>0</v>
      </c>
      <c r="V14" s="2" t="inlineStr">
        <is>
          <t>Ask
Skogsalm
Gullpudra
Trubbfjädermossa</t>
        </is>
      </c>
      <c r="W14">
        <f>HYPERLINK("https://klasma.github.io/Logging_1266/artfynd/A 5619-2024 artfynd.xlsx", "A 5619-2024")</f>
        <v/>
      </c>
      <c r="X14">
        <f>HYPERLINK("https://klasma.github.io/Logging_1266/kartor/A 5619-2024 karta.png", "A 5619-2024")</f>
        <v/>
      </c>
      <c r="Y14">
        <f>HYPERLINK("https://klasma.github.io/Logging_1266/kartor_geotiff/A 5619-2024 georefererad karta.tif", "A 5619-2024")</f>
        <v/>
      </c>
      <c r="AA14">
        <f>HYPERLINK("https://klasma.github.io/Logging_1266/klagomål/A 5619-2024 FSC-klagomål.docx", "A 5619-2024")</f>
        <v/>
      </c>
      <c r="AB14">
        <f>HYPERLINK("https://klasma.github.io/Logging_1266/klagomålsmail/A 5619-2024 FSC-klagomål mail.docx", "A 5619-2024")</f>
        <v/>
      </c>
      <c r="AC14">
        <f>HYPERLINK("https://klasma.github.io/Logging_1266/tillsyn/A 5619-2024 tillsynsbegäran.docx", "A 5619-2024")</f>
        <v/>
      </c>
      <c r="AD14">
        <f>HYPERLINK("https://klasma.github.io/Logging_1266/tillsynsmail/A 5619-2024 tillsynsbegäran mail.docx", "A 5619-2024")</f>
        <v/>
      </c>
    </row>
    <row r="15" ht="15" customHeight="1">
      <c r="A15" t="inlineStr">
        <is>
          <t>A 20193-2024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45434</v>
      </c>
      <c r="E15" s="1" t="n">
        <v>46259</v>
      </c>
      <c r="F15" t="inlineStr">
        <is>
          <t>SKÅNE LÄN</t>
        </is>
      </c>
      <c r="G15" t="inlineStr">
        <is>
          <t>HÖRBY</t>
        </is>
      </c>
      <c r="I15" t="n">
        <v>11.2</v>
      </c>
      <c r="J15" t="n">
        <v>0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Vårärt
Strutbräken
Vätteros</t>
        </is>
      </c>
      <c r="W15">
        <f>HYPERLINK("https://klasma.github.io/Logging_1266/artfynd/A 20193-2024 artfynd.xlsx", "A 20193-2024")</f>
        <v/>
      </c>
      <c r="X15">
        <f>HYPERLINK("https://klasma.github.io/Logging_1266/kartor/A 20193-2024 karta.png", "A 20193-2024")</f>
        <v/>
      </c>
      <c r="Y15">
        <f>HYPERLINK("https://klasma.github.io/Logging_1266/kartor_geotiff/A 20193-2024 georefererad karta.tif", "A 20193-2024")</f>
        <v/>
      </c>
      <c r="AA15">
        <f>HYPERLINK("https://klasma.github.io/Logging_1266/klagomål/A 20193-2024 FSC-klagomål.docx", "A 20193-2024")</f>
        <v/>
      </c>
      <c r="AB15">
        <f>HYPERLINK("https://klasma.github.io/Logging_1266/klagomålsmail/A 20193-2024 FSC-klagomål mail.docx", "A 20193-2024")</f>
        <v/>
      </c>
      <c r="AC15">
        <f>HYPERLINK("https://klasma.github.io/Logging_1266/tillsyn/A 20193-2024 tillsynsbegäran.docx", "A 20193-2024")</f>
        <v/>
      </c>
      <c r="AD15">
        <f>HYPERLINK("https://klasma.github.io/Logging_1266/tillsynsmail/A 20193-2024 tillsynsbegäran mail.docx", "A 20193-2024")</f>
        <v/>
      </c>
    </row>
    <row r="16" ht="15" customHeight="1">
      <c r="A16" t="inlineStr">
        <is>
          <t>A 2823-2025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45677</v>
      </c>
      <c r="E16" s="1" t="n">
        <v>46259</v>
      </c>
      <c r="F16" t="inlineStr">
        <is>
          <t>SKÅNE LÄN</t>
        </is>
      </c>
      <c r="G16" t="inlineStr">
        <is>
          <t>HÖRBY</t>
        </is>
      </c>
      <c r="I16" t="n">
        <v>21.1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Borsttåg
Grönvit nattviol
Revlummer</t>
        </is>
      </c>
      <c r="W16">
        <f>HYPERLINK("https://klasma.github.io/Logging_1266/artfynd/A 2823-2025 artfynd.xlsx", "A 2823-2025")</f>
        <v/>
      </c>
      <c r="X16">
        <f>HYPERLINK("https://klasma.github.io/Logging_1266/kartor/A 2823-2025 karta.png", "A 2823-2025")</f>
        <v/>
      </c>
      <c r="Y16">
        <f>HYPERLINK("https://klasma.github.io/Logging_1266/kartor_geotiff/A 2823-2025 georefererad karta.tif", "A 2823-2025")</f>
        <v/>
      </c>
      <c r="AA16">
        <f>HYPERLINK("https://klasma.github.io/Logging_1266/klagomål/A 2823-2025 FSC-klagomål.docx", "A 2823-2025")</f>
        <v/>
      </c>
      <c r="AB16">
        <f>HYPERLINK("https://klasma.github.io/Logging_1266/klagomålsmail/A 2823-2025 FSC-klagomål mail.docx", "A 2823-2025")</f>
        <v/>
      </c>
      <c r="AC16">
        <f>HYPERLINK("https://klasma.github.io/Logging_1266/tillsyn/A 2823-2025 tillsynsbegäran.docx", "A 2823-2025")</f>
        <v/>
      </c>
      <c r="AD16">
        <f>HYPERLINK("https://klasma.github.io/Logging_1266/tillsynsmail/A 2823-2025 tillsynsbegäran mail.docx", "A 2823-2025")</f>
        <v/>
      </c>
    </row>
    <row r="17" ht="15" customHeight="1">
      <c r="A17" t="inlineStr">
        <is>
          <t>A 24158-2022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44725</v>
      </c>
      <c r="E17" s="1" t="n">
        <v>46259</v>
      </c>
      <c r="F17" t="inlineStr">
        <is>
          <t>SKÅNE LÄN</t>
        </is>
      </c>
      <c r="G17" t="inlineStr">
        <is>
          <t>HÖRBY</t>
        </is>
      </c>
      <c r="I17" t="n">
        <v>3.1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5</v>
      </c>
      <c r="U17" t="n">
        <v>3</v>
      </c>
      <c r="V17" s="2" t="inlineStr">
        <is>
          <t>Slåttergubbe
Borsttåg
Sotnätfjäril</t>
        </is>
      </c>
      <c r="W17">
        <f>HYPERLINK("https://klasma.github.io/Logging_1266/artfynd/A 24158-2022 artfynd.xlsx", "A 24158-2022")</f>
        <v/>
      </c>
      <c r="X17">
        <f>HYPERLINK("https://klasma.github.io/Logging_1266/kartor/A 24158-2022 karta.png", "A 24158-2022")</f>
        <v/>
      </c>
      <c r="Y17">
        <f>HYPERLINK("https://klasma.github.io/Logging_1266/kartor_geotiff/A 24158-2022 georefererad karta.tif", "A 24158-2022")</f>
        <v/>
      </c>
      <c r="AA17">
        <f>HYPERLINK("https://klasma.github.io/Logging_1266/klagomål/A 24158-2022 FSC-klagomål.docx", "A 24158-2022")</f>
        <v/>
      </c>
      <c r="AB17">
        <f>HYPERLINK("https://klasma.github.io/Logging_1266/klagomålsmail/A 24158-2022 FSC-klagomål mail.docx", "A 24158-2022")</f>
        <v/>
      </c>
      <c r="AC17">
        <f>HYPERLINK("https://klasma.github.io/Logging_1266/tillsyn/A 24158-2022 tillsynsbegäran.docx", "A 24158-2022")</f>
        <v/>
      </c>
      <c r="AD17">
        <f>HYPERLINK("https://klasma.github.io/Logging_1266/tillsynsmail/A 24158-2022 tillsynsbegäran mail.docx", "A 24158-2022")</f>
        <v/>
      </c>
    </row>
    <row r="18" ht="15" customHeight="1">
      <c r="A18" t="inlineStr">
        <is>
          <t>A 27738-2025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45815</v>
      </c>
      <c r="E18" s="1" t="n">
        <v>46259</v>
      </c>
      <c r="F18" t="inlineStr">
        <is>
          <t>SKÅNE LÄN</t>
        </is>
      </c>
      <c r="G18" t="inlineStr">
        <is>
          <t>HÖRBY</t>
        </is>
      </c>
      <c r="I18" t="n">
        <v>2.5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Bokvårtlav
Sydlig sotticka
Västlig hakmossa</t>
        </is>
      </c>
      <c r="W18">
        <f>HYPERLINK("https://klasma.github.io/Logging_1266/artfynd/A 27738-2025 artfynd.xlsx", "A 27738-2025")</f>
        <v/>
      </c>
      <c r="X18">
        <f>HYPERLINK("https://klasma.github.io/Logging_1266/kartor/A 27738-2025 karta.png", "A 27738-2025")</f>
        <v/>
      </c>
      <c r="Y18">
        <f>HYPERLINK("https://klasma.github.io/Logging_1266/kartor_geotiff/A 27738-2025 georefererad karta.tif", "A 27738-2025")</f>
        <v/>
      </c>
      <c r="AA18">
        <f>HYPERLINK("https://klasma.github.io/Logging_1266/klagomål/A 27738-2025 FSC-klagomål.docx", "A 27738-2025")</f>
        <v/>
      </c>
      <c r="AB18">
        <f>HYPERLINK("https://klasma.github.io/Logging_1266/klagomålsmail/A 27738-2025 FSC-klagomål mail.docx", "A 27738-2025")</f>
        <v/>
      </c>
      <c r="AC18">
        <f>HYPERLINK("https://klasma.github.io/Logging_1266/tillsyn/A 27738-2025 tillsynsbegäran.docx", "A 27738-2025")</f>
        <v/>
      </c>
      <c r="AD18">
        <f>HYPERLINK("https://klasma.github.io/Logging_1266/tillsynsmail/A 27738-2025 tillsynsbegäran mail.docx", "A 27738-2025")</f>
        <v/>
      </c>
    </row>
    <row r="19" ht="15" customHeight="1">
      <c r="A19" t="inlineStr">
        <is>
          <t>A 24801-2025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45799</v>
      </c>
      <c r="E19" s="1" t="n">
        <v>46259</v>
      </c>
      <c r="F19" t="inlineStr">
        <is>
          <t>SKÅNE LÄN</t>
        </is>
      </c>
      <c r="G19" t="inlineStr">
        <is>
          <t>HÖRBY</t>
        </is>
      </c>
      <c r="I19" t="n">
        <v>4.2</v>
      </c>
      <c r="J19" t="n">
        <v>0</v>
      </c>
      <c r="K19" t="n">
        <v>1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3</v>
      </c>
      <c r="T19" t="n">
        <v>5</v>
      </c>
      <c r="U19" t="n">
        <v>1</v>
      </c>
      <c r="V19" s="2" t="inlineStr">
        <is>
          <t>Ask
Småvänderot
Platt fjädermossa</t>
        </is>
      </c>
      <c r="W19">
        <f>HYPERLINK("https://klasma.github.io/Logging_1266/artfynd/A 24801-2025 artfynd.xlsx", "A 24801-2025")</f>
        <v/>
      </c>
      <c r="X19">
        <f>HYPERLINK("https://klasma.github.io/Logging_1266/kartor/A 24801-2025 karta.png", "A 24801-2025")</f>
        <v/>
      </c>
      <c r="Y19">
        <f>HYPERLINK("https://klasma.github.io/Logging_1266/kartor_geotiff/A 24801-2025 georefererad karta.tif", "A 24801-2025")</f>
        <v/>
      </c>
      <c r="AA19">
        <f>HYPERLINK("https://klasma.github.io/Logging_1266/klagomål/A 24801-2025 FSC-klagomål.docx", "A 24801-2025")</f>
        <v/>
      </c>
      <c r="AB19">
        <f>HYPERLINK("https://klasma.github.io/Logging_1266/klagomålsmail/A 24801-2025 FSC-klagomål mail.docx", "A 24801-2025")</f>
        <v/>
      </c>
      <c r="AC19">
        <f>HYPERLINK("https://klasma.github.io/Logging_1266/tillsyn/A 24801-2025 tillsynsbegäran.docx", "A 24801-2025")</f>
        <v/>
      </c>
      <c r="AD19">
        <f>HYPERLINK("https://klasma.github.io/Logging_1266/tillsynsmail/A 24801-2025 tillsynsbegäran mail.docx", "A 24801-2025")</f>
        <v/>
      </c>
    </row>
    <row r="20" ht="15" customHeight="1">
      <c r="A20" t="inlineStr">
        <is>
          <t>A 44135-2024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45572</v>
      </c>
      <c r="E20" s="1" t="n">
        <v>46259</v>
      </c>
      <c r="F20" t="inlineStr">
        <is>
          <t>SKÅNE LÄN</t>
        </is>
      </c>
      <c r="G20" t="inlineStr">
        <is>
          <t>HÖRBY</t>
        </is>
      </c>
      <c r="I20" t="n">
        <v>0.6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Ladusvala
Vanlig padda</t>
        </is>
      </c>
      <c r="W20">
        <f>HYPERLINK("https://klasma.github.io/Logging_1266/artfynd/A 44135-2024 artfynd.xlsx", "A 44135-2024")</f>
        <v/>
      </c>
      <c r="X20">
        <f>HYPERLINK("https://klasma.github.io/Logging_1266/kartor/A 44135-2024 karta.png", "A 44135-2024")</f>
        <v/>
      </c>
      <c r="Y20">
        <f>HYPERLINK("https://klasma.github.io/Logging_1266/kartor_geotiff/A 44135-2024 georefererad karta.tif", "A 44135-2024")</f>
        <v/>
      </c>
      <c r="AA20">
        <f>HYPERLINK("https://klasma.github.io/Logging_1266/klagomål/A 44135-2024 FSC-klagomål.docx", "A 44135-2024")</f>
        <v/>
      </c>
      <c r="AB20">
        <f>HYPERLINK("https://klasma.github.io/Logging_1266/klagomålsmail/A 44135-2024 FSC-klagomål mail.docx", "A 44135-2024")</f>
        <v/>
      </c>
      <c r="AC20">
        <f>HYPERLINK("https://klasma.github.io/Logging_1266/tillsyn/A 44135-2024 tillsynsbegäran.docx", "A 44135-2024")</f>
        <v/>
      </c>
      <c r="AD20">
        <f>HYPERLINK("https://klasma.github.io/Logging_1266/tillsynsmail/A 44135-2024 tillsynsbegäran mail.docx", "A 44135-2024")</f>
        <v/>
      </c>
    </row>
    <row r="21" ht="15" customHeight="1">
      <c r="A21" t="inlineStr">
        <is>
          <t>A 42724-2023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45176</v>
      </c>
      <c r="E21" s="1" t="n">
        <v>46259</v>
      </c>
      <c r="F21" t="inlineStr">
        <is>
          <t>SKÅNE LÄN</t>
        </is>
      </c>
      <c r="G21" t="inlineStr">
        <is>
          <t>HÖRBY</t>
        </is>
      </c>
      <c r="I21" t="n">
        <v>2.8</v>
      </c>
      <c r="J21" t="n">
        <v>1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4</v>
      </c>
      <c r="U21" t="n">
        <v>0</v>
      </c>
      <c r="V21" s="2" t="inlineStr">
        <is>
          <t>Ask
Grönvit nattviol</t>
        </is>
      </c>
      <c r="W21">
        <f>HYPERLINK("https://klasma.github.io/Logging_1266/artfynd/A 42724-2023 artfynd.xlsx", "A 42724-2023")</f>
        <v/>
      </c>
      <c r="X21">
        <f>HYPERLINK("https://klasma.github.io/Logging_1266/kartor/A 42724-2023 karta.png", "A 42724-2023")</f>
        <v/>
      </c>
      <c r="Y21">
        <f>HYPERLINK("https://klasma.github.io/Logging_1266/kartor_geotiff/A 42724-2023 georefererad karta.tif", "A 42724-2023")</f>
        <v/>
      </c>
      <c r="AA21">
        <f>HYPERLINK("https://klasma.github.io/Logging_1266/klagomål/A 42724-2023 FSC-klagomål.docx", "A 42724-2023")</f>
        <v/>
      </c>
      <c r="AB21">
        <f>HYPERLINK("https://klasma.github.io/Logging_1266/klagomålsmail/A 42724-2023 FSC-klagomål mail.docx", "A 42724-2023")</f>
        <v/>
      </c>
      <c r="AC21">
        <f>HYPERLINK("https://klasma.github.io/Logging_1266/tillsyn/A 42724-2023 tillsynsbegäran.docx", "A 42724-2023")</f>
        <v/>
      </c>
      <c r="AD21">
        <f>HYPERLINK("https://klasma.github.io/Logging_1266/tillsynsmail/A 42724-2023 tillsynsbegäran mail.docx", "A 42724-2023")</f>
        <v/>
      </c>
    </row>
    <row r="22" ht="15" customHeight="1">
      <c r="A22" t="inlineStr">
        <is>
          <t>A 824-2026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46030</v>
      </c>
      <c r="E22" s="1" t="n">
        <v>46259</v>
      </c>
      <c r="F22" t="inlineStr">
        <is>
          <t>SKÅNE LÄN</t>
        </is>
      </c>
      <c r="G22" t="inlineStr">
        <is>
          <t>HÖRBY</t>
        </is>
      </c>
      <c r="H22" t="inlineStr">
        <is>
          <t>Sveaskog</t>
        </is>
      </c>
      <c r="I22" t="n">
        <v>3.1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Hedblomster
Skogslysing</t>
        </is>
      </c>
      <c r="W22">
        <f>HYPERLINK("https://klasma.github.io/Logging_1266/artfynd/A 824-2026 artfynd.xlsx", "A 824-2026")</f>
        <v/>
      </c>
      <c r="X22">
        <f>HYPERLINK("https://klasma.github.io/Logging_1266/kartor/A 824-2026 karta.png", "A 824-2026")</f>
        <v/>
      </c>
      <c r="Y22">
        <f>HYPERLINK("https://klasma.github.io/Logging_1266/kartor_geotiff/A 824-2026 georefererad karta.tif", "A 824-2026")</f>
        <v/>
      </c>
      <c r="AA22">
        <f>HYPERLINK("https://klasma.github.io/Logging_1266/klagomål/A 824-2026 FSC-klagomål.docx", "A 824-2026")</f>
        <v/>
      </c>
      <c r="AB22">
        <f>HYPERLINK("https://klasma.github.io/Logging_1266/klagomålsmail/A 824-2026 FSC-klagomål mail.docx", "A 824-2026")</f>
        <v/>
      </c>
      <c r="AC22">
        <f>HYPERLINK("https://klasma.github.io/Logging_1266/tillsyn/A 824-2026 tillsynsbegäran.docx", "A 824-2026")</f>
        <v/>
      </c>
      <c r="AD22">
        <f>HYPERLINK("https://klasma.github.io/Logging_1266/tillsynsmail/A 824-2026 tillsynsbegäran mail.docx", "A 824-2026")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46259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25479-2025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45802</v>
      </c>
      <c r="E24" s="1" t="n">
        <v>46259</v>
      </c>
      <c r="F24" t="inlineStr">
        <is>
          <t>SKÅNE LÄN</t>
        </is>
      </c>
      <c r="G24" t="inlineStr">
        <is>
          <t>HÖRBY</t>
        </is>
      </c>
      <c r="I24" t="n">
        <v>0.7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Lundvårlök</t>
        </is>
      </c>
      <c r="W24">
        <f>HYPERLINK("https://klasma.github.io/Logging_1266/artfynd/A 25479-2025 artfynd.xlsx", "A 25479-2025")</f>
        <v/>
      </c>
      <c r="X24">
        <f>HYPERLINK("https://klasma.github.io/Logging_1266/kartor/A 25479-2025 karta.png", "A 25479-2025")</f>
        <v/>
      </c>
      <c r="Y24">
        <f>HYPERLINK("https://klasma.github.io/Logging_1266/kartor_geotiff/A 25479-2025 georefererad karta.tif", "A 25479-2025")</f>
        <v/>
      </c>
      <c r="AA24">
        <f>HYPERLINK("https://klasma.github.io/Logging_1266/klagomål/A 25479-2025 FSC-klagomål.docx", "A 25479-2025")</f>
        <v/>
      </c>
      <c r="AB24">
        <f>HYPERLINK("https://klasma.github.io/Logging_1266/klagomålsmail/A 25479-2025 FSC-klagomål mail.docx", "A 25479-2025")</f>
        <v/>
      </c>
      <c r="AC24">
        <f>HYPERLINK("https://klasma.github.io/Logging_1266/tillsyn/A 25479-2025 tillsynsbegäran.docx", "A 25479-2025")</f>
        <v/>
      </c>
      <c r="AD24">
        <f>HYPERLINK("https://klasma.github.io/Logging_1266/tillsynsmail/A 25479-2025 tillsynsbegäran mail.docx", "A 25479-2025")</f>
        <v/>
      </c>
    </row>
    <row r="25" ht="15" customHeight="1">
      <c r="A25" t="inlineStr">
        <is>
          <t>A 113-2023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46259</v>
      </c>
      <c r="F25" t="inlineStr">
        <is>
          <t>SKÅNE LÄN</t>
        </is>
      </c>
      <c r="G25" t="inlineStr">
        <is>
          <t>HÖRBY</t>
        </is>
      </c>
      <c r="I25" t="n">
        <v>5.1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HYPERLINK("https://klasma.github.io/Logging_1266/artfynd/A 113-2023 artfynd.xlsx", "A 113-2023")</f>
        <v/>
      </c>
      <c r="X25">
        <f>HYPERLINK("https://klasma.github.io/Logging_1266/kartor/A 113-2023 karta.png", "A 113-2023")</f>
        <v/>
      </c>
      <c r="Y25">
        <f>HYPERLINK("https://klasma.github.io/Logging_1266/kartor_geotiff/A 113-2023 georefererad karta.tif", "A 113-2023")</f>
        <v/>
      </c>
      <c r="AA25">
        <f>HYPERLINK("https://klasma.github.io/Logging_1266/klagomål/A 113-2023 FSC-klagomål.docx", "A 113-2023")</f>
        <v/>
      </c>
      <c r="AB25">
        <f>HYPERLINK("https://klasma.github.io/Logging_1266/klagomålsmail/A 113-2023 FSC-klagomål mail.docx", "A 113-2023")</f>
        <v/>
      </c>
      <c r="AC25">
        <f>HYPERLINK("https://klasma.github.io/Logging_1266/tillsyn/A 113-2023 tillsynsbegäran.docx", "A 113-2023")</f>
        <v/>
      </c>
      <c r="AD25">
        <f>HYPERLINK("https://klasma.github.io/Logging_1266/tillsynsmail/A 113-2023 tillsynsbegäran mail.docx", "A 113-2023")</f>
        <v/>
      </c>
    </row>
    <row r="26" ht="15" customHeight="1">
      <c r="A26" t="inlineStr">
        <is>
          <t>A 25833-2024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45463</v>
      </c>
      <c r="E26" s="1" t="n">
        <v>46259</v>
      </c>
      <c r="F26" t="inlineStr">
        <is>
          <t>SKÅNE LÄN</t>
        </is>
      </c>
      <c r="G26" t="inlineStr">
        <is>
          <t>HÖRBY</t>
        </is>
      </c>
      <c r="I26" t="n">
        <v>1.4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Slåttergubbe</t>
        </is>
      </c>
      <c r="W26">
        <f>HYPERLINK("https://klasma.github.io/Logging_1266/artfynd/A 25833-2024 artfynd.xlsx", "A 25833-2024")</f>
        <v/>
      </c>
      <c r="X26">
        <f>HYPERLINK("https://klasma.github.io/Logging_1266/kartor/A 25833-2024 karta.png", "A 25833-2024")</f>
        <v/>
      </c>
      <c r="Y26">
        <f>HYPERLINK("https://klasma.github.io/Logging_1266/kartor_geotiff/A 25833-2024 georefererad karta.tif", "A 25833-2024")</f>
        <v/>
      </c>
      <c r="AA26">
        <f>HYPERLINK("https://klasma.github.io/Logging_1266/klagomål/A 25833-2024 FSC-klagomål.docx", "A 25833-2024")</f>
        <v/>
      </c>
      <c r="AB26">
        <f>HYPERLINK("https://klasma.github.io/Logging_1266/klagomålsmail/A 25833-2024 FSC-klagomål mail.docx", "A 25833-2024")</f>
        <v/>
      </c>
      <c r="AC26">
        <f>HYPERLINK("https://klasma.github.io/Logging_1266/tillsyn/A 25833-2024 tillsynsbegäran.docx", "A 25833-2024")</f>
        <v/>
      </c>
      <c r="AD26">
        <f>HYPERLINK("https://klasma.github.io/Logging_1266/tillsynsmail/A 25833-2024 tillsynsbegäran mail.docx", "A 25833-2024")</f>
        <v/>
      </c>
    </row>
    <row r="27" ht="15" customHeight="1">
      <c r="A27" t="inlineStr">
        <is>
          <t>A 47612-2023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46259</v>
      </c>
      <c r="F27" t="inlineStr">
        <is>
          <t>SKÅNE LÄN</t>
        </is>
      </c>
      <c r="G27" t="inlineStr">
        <is>
          <t>HÖRBY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HYPERLINK("https://klasma.github.io/Logging_1266/artfynd/A 47612-2023 artfynd.xlsx", "A 47612-2023")</f>
        <v/>
      </c>
      <c r="X27">
        <f>HYPERLINK("https://klasma.github.io/Logging_1266/kartor/A 47612-2023 karta.png", "A 47612-2023")</f>
        <v/>
      </c>
      <c r="Y27">
        <f>HYPERLINK("https://klasma.github.io/Logging_1266/kartor_geotiff/A 47612-2023 georefererad karta.tif", "A 47612-2023")</f>
        <v/>
      </c>
      <c r="AA27">
        <f>HYPERLINK("https://klasma.github.io/Logging_1266/klagomål/A 47612-2023 FSC-klagomål.docx", "A 47612-2023")</f>
        <v/>
      </c>
      <c r="AB27">
        <f>HYPERLINK("https://klasma.github.io/Logging_1266/klagomålsmail/A 47612-2023 FSC-klagomål mail.docx", "A 47612-2023")</f>
        <v/>
      </c>
      <c r="AC27">
        <f>HYPERLINK("https://klasma.github.io/Logging_1266/tillsyn/A 47612-2023 tillsynsbegäran.docx", "A 47612-2023")</f>
        <v/>
      </c>
      <c r="AD27">
        <f>HYPERLINK("https://klasma.github.io/Logging_1266/tillsynsmail/A 47612-2023 tillsynsbegäran mail.docx", "A 47612-2023")</f>
        <v/>
      </c>
    </row>
    <row r="28" ht="15" customHeight="1">
      <c r="A28" t="inlineStr">
        <is>
          <t>A 40376-2023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45169</v>
      </c>
      <c r="E28" s="1" t="n">
        <v>46259</v>
      </c>
      <c r="F28" t="inlineStr">
        <is>
          <t>SKÅNE LÄN</t>
        </is>
      </c>
      <c r="G28" t="inlineStr">
        <is>
          <t>HÖRBY</t>
        </is>
      </c>
      <c r="I28" t="n">
        <v>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Talltita</t>
        </is>
      </c>
      <c r="W28">
        <f>HYPERLINK("https://klasma.github.io/Logging_1266/artfynd/A 40376-2023 artfynd.xlsx", "A 40376-2023")</f>
        <v/>
      </c>
      <c r="X28">
        <f>HYPERLINK("https://klasma.github.io/Logging_1266/kartor/A 40376-2023 karta.png", "A 40376-2023")</f>
        <v/>
      </c>
      <c r="Y28">
        <f>HYPERLINK("https://klasma.github.io/Logging_1266/kartor_geotiff/A 40376-2023 georefererad karta.tif", "A 40376-2023")</f>
        <v/>
      </c>
      <c r="AA28">
        <f>HYPERLINK("https://klasma.github.io/Logging_1266/klagomål/A 40376-2023 FSC-klagomål.docx", "A 40376-2023")</f>
        <v/>
      </c>
      <c r="AB28">
        <f>HYPERLINK("https://klasma.github.io/Logging_1266/klagomålsmail/A 40376-2023 FSC-klagomål mail.docx", "A 40376-2023")</f>
        <v/>
      </c>
      <c r="AC28">
        <f>HYPERLINK("https://klasma.github.io/Logging_1266/tillsyn/A 40376-2023 tillsynsbegäran.docx", "A 40376-2023")</f>
        <v/>
      </c>
      <c r="AD28">
        <f>HYPERLINK("https://klasma.github.io/Logging_1266/tillsynsmail/A 40376-2023 tillsynsbegäran mail.docx", "A 40376-2023")</f>
        <v/>
      </c>
      <c r="AE28">
        <f>HYPERLINK("https://klasma.github.io/Logging_1266/fåglar/A 40376-2023 prioriterade fågelarter.docx", "A 40376-2023")</f>
        <v/>
      </c>
    </row>
    <row r="29" ht="15" customHeight="1">
      <c r="A29" t="inlineStr">
        <is>
          <t>A 31115-2024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45502</v>
      </c>
      <c r="E29" s="1" t="n">
        <v>46259</v>
      </c>
      <c r="F29" t="inlineStr">
        <is>
          <t>SKÅNE LÄN</t>
        </is>
      </c>
      <c r="G29" t="inlineStr">
        <is>
          <t>HÖRBY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Gullpudra</t>
        </is>
      </c>
      <c r="W29">
        <f>HYPERLINK("https://klasma.github.io/Logging_1266/artfynd/A 31115-2024 artfynd.xlsx", "A 31115-2024")</f>
        <v/>
      </c>
      <c r="X29">
        <f>HYPERLINK("https://klasma.github.io/Logging_1266/kartor/A 31115-2024 karta.png", "A 31115-2024")</f>
        <v/>
      </c>
      <c r="Y29">
        <f>HYPERLINK("https://klasma.github.io/Logging_1266/kartor_geotiff/A 31115-2024 georefererad karta.tif", "A 31115-2024")</f>
        <v/>
      </c>
      <c r="AA29">
        <f>HYPERLINK("https://klasma.github.io/Logging_1266/klagomål/A 31115-2024 FSC-klagomål.docx", "A 31115-2024")</f>
        <v/>
      </c>
      <c r="AB29">
        <f>HYPERLINK("https://klasma.github.io/Logging_1266/klagomålsmail/A 31115-2024 FSC-klagomål mail.docx", "A 31115-2024")</f>
        <v/>
      </c>
      <c r="AC29">
        <f>HYPERLINK("https://klasma.github.io/Logging_1266/tillsyn/A 31115-2024 tillsynsbegäran.docx", "A 31115-2024")</f>
        <v/>
      </c>
      <c r="AD29">
        <f>HYPERLINK("https://klasma.github.io/Logging_1266/tillsynsmail/A 31115-2024 tillsynsbegäran mail.docx", "A 31115-2024")</f>
        <v/>
      </c>
    </row>
    <row r="30" ht="15" customHeight="1">
      <c r="A30" t="inlineStr">
        <is>
          <t>A 24823-2026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46174</v>
      </c>
      <c r="E30" s="1" t="n">
        <v>46259</v>
      </c>
      <c r="F30" t="inlineStr">
        <is>
          <t>SKÅNE LÄN</t>
        </is>
      </c>
      <c r="G30" t="inlineStr">
        <is>
          <t>HÖRBY</t>
        </is>
      </c>
      <c r="H30" t="inlineStr">
        <is>
          <t>Sveaskog</t>
        </is>
      </c>
      <c r="I30" t="n">
        <v>5.1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Tandrot</t>
        </is>
      </c>
      <c r="W30">
        <f>HYPERLINK("https://klasma.github.io/Logging_1266/artfynd/A 24823-2026 artfynd.xlsx", "A 24823-2026")</f>
        <v/>
      </c>
      <c r="X30">
        <f>HYPERLINK("https://klasma.github.io/Logging_1266/kartor/A 24823-2026 karta.png", "A 24823-2026")</f>
        <v/>
      </c>
      <c r="Y30">
        <f>HYPERLINK("https://klasma.github.io/Logging_1266/kartor_geotiff/A 24823-2026 georefererad karta.tif", "A 24823-2026")</f>
        <v/>
      </c>
      <c r="AA30">
        <f>HYPERLINK("https://klasma.github.io/Logging_1266/klagomål/A 24823-2026 FSC-klagomål.docx", "A 24823-2026")</f>
        <v/>
      </c>
      <c r="AB30">
        <f>HYPERLINK("https://klasma.github.io/Logging_1266/klagomålsmail/A 24823-2026 FSC-klagomål mail.docx", "A 24823-2026")</f>
        <v/>
      </c>
      <c r="AC30">
        <f>HYPERLINK("https://klasma.github.io/Logging_1266/tillsyn/A 24823-2026 tillsynsbegäran.docx", "A 24823-2026")</f>
        <v/>
      </c>
      <c r="AD30">
        <f>HYPERLINK("https://klasma.github.io/Logging_1266/tillsynsmail/A 24823-2026 tillsynsbegäran mail.docx", "A 24823-2026")</f>
        <v/>
      </c>
    </row>
    <row r="31" ht="15" customHeight="1">
      <c r="A31" t="inlineStr">
        <is>
          <t>A 31284-2026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46218</v>
      </c>
      <c r="E31" s="1" t="n">
        <v>46259</v>
      </c>
      <c r="F31" t="inlineStr">
        <is>
          <t>SKÅNE LÄN</t>
        </is>
      </c>
      <c r="G31" t="inlineStr">
        <is>
          <t>HÖRBY</t>
        </is>
      </c>
      <c r="I31" t="n">
        <v>6.8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Vanlig groda</t>
        </is>
      </c>
      <c r="W31">
        <f>HYPERLINK("https://klasma.github.io/Logging_1266/artfynd/A 31284-2026 artfynd.xlsx", "A 31284-2026")</f>
        <v/>
      </c>
      <c r="X31">
        <f>HYPERLINK("https://klasma.github.io/Logging_1266/kartor/A 31284-2026 karta.png", "A 31284-2026")</f>
        <v/>
      </c>
      <c r="Y31">
        <f>HYPERLINK("https://klasma.github.io/Logging_1266/kartor_geotiff/A 31284-2026 georefererad karta.tif", "A 31284-2026")</f>
        <v/>
      </c>
      <c r="AA31">
        <f>HYPERLINK("https://klasma.github.io/Logging_1266/klagomål/A 31284-2026 FSC-klagomål.docx", "A 31284-2026")</f>
        <v/>
      </c>
      <c r="AB31">
        <f>HYPERLINK("https://klasma.github.io/Logging_1266/klagomålsmail/A 31284-2026 FSC-klagomål mail.docx", "A 31284-2026")</f>
        <v/>
      </c>
      <c r="AC31">
        <f>HYPERLINK("https://klasma.github.io/Logging_1266/tillsyn/A 31284-2026 tillsynsbegäran.docx", "A 31284-2026")</f>
        <v/>
      </c>
      <c r="AD31">
        <f>HYPERLINK("https://klasma.github.io/Logging_1266/tillsynsmail/A 31284-2026 tillsynsbegäran mail.docx", "A 31284-2026")</f>
        <v/>
      </c>
    </row>
    <row r="32" ht="15" customHeight="1">
      <c r="A32" t="inlineStr">
        <is>
          <t>A 16519-2026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46112</v>
      </c>
      <c r="E32" s="1" t="n">
        <v>46259</v>
      </c>
      <c r="F32" t="inlineStr">
        <is>
          <t>SKÅNE LÄN</t>
        </is>
      </c>
      <c r="G32" t="inlineStr">
        <is>
          <t>HÖRBY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HYPERLINK("https://klasma.github.io/Logging_1266/artfynd/A 16519-2026 artfynd.xlsx", "A 16519-2026")</f>
        <v/>
      </c>
      <c r="X32">
        <f>HYPERLINK("https://klasma.github.io/Logging_1266/kartor/A 16519-2026 karta.png", "A 16519-2026")</f>
        <v/>
      </c>
      <c r="Y32">
        <f>HYPERLINK("https://klasma.github.io/Logging_1266/kartor_geotiff/A 16519-2026 georefererad karta.tif", "A 16519-2026")</f>
        <v/>
      </c>
      <c r="AA32">
        <f>HYPERLINK("https://klasma.github.io/Logging_1266/klagomål/A 16519-2026 FSC-klagomål.docx", "A 16519-2026")</f>
        <v/>
      </c>
      <c r="AB32">
        <f>HYPERLINK("https://klasma.github.io/Logging_1266/klagomålsmail/A 16519-2026 FSC-klagomål mail.docx", "A 16519-2026")</f>
        <v/>
      </c>
      <c r="AC32">
        <f>HYPERLINK("https://klasma.github.io/Logging_1266/tillsyn/A 16519-2026 tillsynsbegäran.docx", "A 16519-2026")</f>
        <v/>
      </c>
      <c r="AD32">
        <f>HYPERLINK("https://klasma.github.io/Logging_1266/tillsynsmail/A 16519-2026 tillsynsbegäran mail.docx", "A 16519-2026")</f>
        <v/>
      </c>
    </row>
    <row r="33" ht="15" customHeight="1">
      <c r="A33" t="inlineStr">
        <is>
          <t>A 30165-2026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46206</v>
      </c>
      <c r="E33" s="1" t="n">
        <v>46259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HYPERLINK("https://klasma.github.io/Logging_1266/artfynd/A 30165-2026 artfynd.xlsx", "A 30165-2026")</f>
        <v/>
      </c>
      <c r="X33">
        <f>HYPERLINK("https://klasma.github.io/Logging_1266/kartor/A 30165-2026 karta.png", "A 30165-2026")</f>
        <v/>
      </c>
      <c r="Y33">
        <f>HYPERLINK("https://klasma.github.io/Logging_1266/kartor_geotiff/A 30165-2026 georefererad karta.tif", "A 30165-2026")</f>
        <v/>
      </c>
      <c r="AA33">
        <f>HYPERLINK("https://klasma.github.io/Logging_1266/klagomål/A 30165-2026 FSC-klagomål.docx", "A 30165-2026")</f>
        <v/>
      </c>
      <c r="AB33">
        <f>HYPERLINK("https://klasma.github.io/Logging_1266/klagomålsmail/A 30165-2026 FSC-klagomål mail.docx", "A 30165-2026")</f>
        <v/>
      </c>
      <c r="AC33">
        <f>HYPERLINK("https://klasma.github.io/Logging_1266/tillsyn/A 30165-2026 tillsynsbegäran.docx", "A 30165-2026")</f>
        <v/>
      </c>
      <c r="AD33">
        <f>HYPERLINK("https://klasma.github.io/Logging_1266/tillsynsmail/A 30165-2026 tillsynsbegäran mail.docx", "A 30165-2026")</f>
        <v/>
      </c>
    </row>
    <row r="34" ht="15" customHeight="1">
      <c r="A34" t="inlineStr">
        <is>
          <t>A 21713-2025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45783</v>
      </c>
      <c r="E34" s="1" t="n">
        <v>46259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HYPERLINK("https://klasma.github.io/Logging_1266/artfynd/A 21713-2025 artfynd.xlsx", "A 21713-2025")</f>
        <v/>
      </c>
      <c r="X34">
        <f>HYPERLINK("https://klasma.github.io/Logging_1266/kartor/A 21713-2025 karta.png", "A 21713-2025")</f>
        <v/>
      </c>
      <c r="Y34">
        <f>HYPERLINK("https://klasma.github.io/Logging_1266/kartor_geotiff/A 21713-2025 georefererad karta.tif", "A 21713-2025")</f>
        <v/>
      </c>
      <c r="AA34">
        <f>HYPERLINK("https://klasma.github.io/Logging_1266/klagomål/A 21713-2025 FSC-klagomål.docx", "A 21713-2025")</f>
        <v/>
      </c>
      <c r="AB34">
        <f>HYPERLINK("https://klasma.github.io/Logging_1266/klagomålsmail/A 21713-2025 FSC-klagomål mail.docx", "A 21713-2025")</f>
        <v/>
      </c>
      <c r="AC34">
        <f>HYPERLINK("https://klasma.github.io/Logging_1266/tillsyn/A 21713-2025 tillsynsbegäran.docx", "A 21713-2025")</f>
        <v/>
      </c>
      <c r="AD34">
        <f>HYPERLINK("https://klasma.github.io/Logging_1266/tillsynsmail/A 21713-2025 tillsynsbegäran mail.docx", "A 21713-2025")</f>
        <v/>
      </c>
    </row>
    <row r="35" ht="15" customHeight="1">
      <c r="A35" t="inlineStr">
        <is>
          <t>A 29129-2026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46259</v>
      </c>
      <c r="F35" t="inlineStr">
        <is>
          <t>SKÅNE LÄN</t>
        </is>
      </c>
      <c r="G35" t="inlineStr">
        <is>
          <t>HÖRBY</t>
        </is>
      </c>
      <c r="H35" t="inlineStr">
        <is>
          <t>Sveaskog</t>
        </is>
      </c>
      <c r="I35" t="n">
        <v>10.5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Ekticka</t>
        </is>
      </c>
      <c r="W35">
        <f>HYPERLINK("https://klasma.github.io/Logging_1266/artfynd/A 29129-2026 artfynd.xlsx", "A 29129-2026")</f>
        <v/>
      </c>
      <c r="X35">
        <f>HYPERLINK("https://klasma.github.io/Logging_1266/kartor/A 29129-2026 karta.png", "A 29129-2026")</f>
        <v/>
      </c>
      <c r="Y35">
        <f>HYPERLINK("https://klasma.github.io/Logging_1266/kartor_geotiff/A 29129-2026 georefererad karta.tif", "A 29129-2026")</f>
        <v/>
      </c>
      <c r="AA35">
        <f>HYPERLINK("https://klasma.github.io/Logging_1266/klagomål/A 29129-2026 FSC-klagomål.docx", "A 29129-2026")</f>
        <v/>
      </c>
      <c r="AB35">
        <f>HYPERLINK("https://klasma.github.io/Logging_1266/klagomålsmail/A 29129-2026 FSC-klagomål mail.docx", "A 29129-2026")</f>
        <v/>
      </c>
      <c r="AC35">
        <f>HYPERLINK("https://klasma.github.io/Logging_1266/tillsyn/A 29129-2026 tillsynsbegäran.docx", "A 29129-2026")</f>
        <v/>
      </c>
      <c r="AD35">
        <f>HYPERLINK("https://klasma.github.io/Logging_1266/tillsynsmail/A 29129-2026 tillsynsbegäran mail.docx", "A 29129-2026")</f>
        <v/>
      </c>
    </row>
    <row r="36" ht="15" customHeight="1">
      <c r="A36" t="inlineStr">
        <is>
          <t>S 2020-2023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45089</v>
      </c>
      <c r="E36" s="1" t="n">
        <v>46259</v>
      </c>
      <c r="F36" t="inlineStr">
        <is>
          <t>SKÅNE LÄN</t>
        </is>
      </c>
      <c r="G36" t="inlineStr">
        <is>
          <t>HÖRBY</t>
        </is>
      </c>
      <c r="I36" t="n">
        <v>16.1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Kambräken</t>
        </is>
      </c>
      <c r="W36">
        <f>HYPERLINK("https://klasma.github.io/Logging_1266/artfynd/S 2020-2023 artfynd.xlsx", "S 2020-2023")</f>
        <v/>
      </c>
      <c r="X36">
        <f>HYPERLINK("https://klasma.github.io/Logging_1266/kartor/S 2020-2023 karta.png", "S 2020-2023")</f>
        <v/>
      </c>
      <c r="Y36">
        <f>HYPERLINK("https://klasma.github.io/Logging_1266/kartor_geotiff/S 2020-2023 georefererad karta.tif", "S 2020-2023")</f>
        <v/>
      </c>
      <c r="AA36">
        <f>HYPERLINK("https://klasma.github.io/Logging_1266/klagomål/S 2020-2023 FSC-klagomål.docx", "S 2020-2023")</f>
        <v/>
      </c>
      <c r="AB36">
        <f>HYPERLINK("https://klasma.github.io/Logging_1266/klagomålsmail/S 2020-2023 FSC-klagomål mail.docx", "S 2020-2023")</f>
        <v/>
      </c>
      <c r="AC36">
        <f>HYPERLINK("https://klasma.github.io/Logging_1266/tillsyn/S 2020-2023 tillsynsbegäran.docx", "S 2020-2023")</f>
        <v/>
      </c>
      <c r="AD36">
        <f>HYPERLINK("https://klasma.github.io/Logging_1266/tillsynsmail/S 2020-2023 tillsynsbegäran mail.docx", "S 2020-2023")</f>
        <v/>
      </c>
    </row>
    <row r="37" ht="15" customHeight="1">
      <c r="A37" t="inlineStr">
        <is>
          <t>S 913-2023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44999</v>
      </c>
      <c r="E37" s="1" t="n">
        <v>46259</v>
      </c>
      <c r="F37" t="inlineStr">
        <is>
          <t>SKÅNE LÄN</t>
        </is>
      </c>
      <c r="G37" t="inlineStr">
        <is>
          <t>HÖRBY</t>
        </is>
      </c>
      <c r="I37" t="n">
        <v>20.3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Kransrams</t>
        </is>
      </c>
      <c r="W37">
        <f>HYPERLINK("https://klasma.github.io/Logging_1266/artfynd/S 913-2023 artfynd.xlsx", "S 913-2023")</f>
        <v/>
      </c>
      <c r="X37">
        <f>HYPERLINK("https://klasma.github.io/Logging_1266/kartor/S 913-2023 karta.png", "S 913-2023")</f>
        <v/>
      </c>
      <c r="Y37">
        <f>HYPERLINK("https://klasma.github.io/Logging_1266/kartor_geotiff/S 913-2023 georefererad karta.tif", "S 913-2023")</f>
        <v/>
      </c>
      <c r="AA37">
        <f>HYPERLINK("https://klasma.github.io/Logging_1266/klagomål/S 913-2023 FSC-klagomål.docx", "S 913-2023")</f>
        <v/>
      </c>
      <c r="AB37">
        <f>HYPERLINK("https://klasma.github.io/Logging_1266/klagomålsmail/S 913-2023 FSC-klagomål mail.docx", "S 913-2023")</f>
        <v/>
      </c>
      <c r="AC37">
        <f>HYPERLINK("https://klasma.github.io/Logging_1266/tillsyn/S 913-2023 tillsynsbegäran.docx", "S 913-2023")</f>
        <v/>
      </c>
      <c r="AD37">
        <f>HYPERLINK("https://klasma.github.io/Logging_1266/tillsynsmail/S 913-2023 tillsynsbegäran mail.docx", "S 913-2023")</f>
        <v/>
      </c>
    </row>
    <row r="38" ht="15" customHeight="1">
      <c r="A38" t="inlineStr">
        <is>
          <t>A 63913-2021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46259</v>
      </c>
      <c r="F38" t="inlineStr">
        <is>
          <t>SKÅNE LÄN</t>
        </is>
      </c>
      <c r="G38" t="inlineStr">
        <is>
          <t>HÖRBY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15794-2022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44663</v>
      </c>
      <c r="E39" s="1" t="n">
        <v>46259</v>
      </c>
      <c r="F39" t="inlineStr">
        <is>
          <t>SKÅNE LÄN</t>
        </is>
      </c>
      <c r="G39" t="inlineStr">
        <is>
          <t>HÖRBY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64128-2021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44509</v>
      </c>
      <c r="E40" s="1" t="n">
        <v>46259</v>
      </c>
      <c r="F40" t="inlineStr">
        <is>
          <t>SKÅNE LÄN</t>
        </is>
      </c>
      <c r="G40" t="inlineStr">
        <is>
          <t>HÖRBY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19981-2022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44697</v>
      </c>
      <c r="E41" s="1" t="n">
        <v>46259</v>
      </c>
      <c r="F41" t="inlineStr">
        <is>
          <t>SKÅNE LÄN</t>
        </is>
      </c>
      <c r="G41" t="inlineStr">
        <is>
          <t>HÖRBY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64255-2021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44510</v>
      </c>
      <c r="E42" s="1" t="n">
        <v>46259</v>
      </c>
      <c r="F42" t="inlineStr">
        <is>
          <t>SKÅNE LÄN</t>
        </is>
      </c>
      <c r="G42" t="inlineStr">
        <is>
          <t>HÖRBY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43389-2022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44834</v>
      </c>
      <c r="E43" s="1" t="n">
        <v>46259</v>
      </c>
      <c r="F43" t="inlineStr">
        <is>
          <t>SKÅNE LÄN</t>
        </is>
      </c>
      <c r="G43" t="inlineStr">
        <is>
          <t>HÖRBY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31285-2022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44771</v>
      </c>
      <c r="E44" s="1" t="n">
        <v>46259</v>
      </c>
      <c r="F44" t="inlineStr">
        <is>
          <t>SKÅNE LÄN</t>
        </is>
      </c>
      <c r="G44" t="inlineStr">
        <is>
          <t>HÖRBY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52832-2021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44466</v>
      </c>
      <c r="E45" s="1" t="n">
        <v>46259</v>
      </c>
      <c r="F45" t="inlineStr">
        <is>
          <t>SKÅNE LÄN</t>
        </is>
      </c>
      <c r="G45" t="inlineStr">
        <is>
          <t>HÖRBY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46259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18735-2023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46259</v>
      </c>
      <c r="F47" t="inlineStr">
        <is>
          <t>SKÅNE LÄN</t>
        </is>
      </c>
      <c r="G47" t="inlineStr">
        <is>
          <t>HÖRBY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43711-2024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45569</v>
      </c>
      <c r="E48" s="1" t="n">
        <v>46259</v>
      </c>
      <c r="F48" t="inlineStr">
        <is>
          <t>SKÅNE LÄN</t>
        </is>
      </c>
      <c r="G48" t="inlineStr">
        <is>
          <t>HÖRBY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46259</v>
      </c>
      <c r="F49" t="inlineStr">
        <is>
          <t>SKÅNE LÄN</t>
        </is>
      </c>
      <c r="G49" t="inlineStr">
        <is>
          <t>HÖRBY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44834</v>
      </c>
      <c r="E50" s="1" t="n">
        <v>46259</v>
      </c>
      <c r="F50" t="inlineStr">
        <is>
          <t>SKÅNE LÄN</t>
        </is>
      </c>
      <c r="G50" t="inlineStr">
        <is>
          <t>HÖRBY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47609-2023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45203</v>
      </c>
      <c r="E51" s="1" t="n">
        <v>46259</v>
      </c>
      <c r="F51" t="inlineStr">
        <is>
          <t>SKÅNE LÄN</t>
        </is>
      </c>
      <c r="G51" t="inlineStr">
        <is>
          <t>HÖRBY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46259</v>
      </c>
      <c r="F52" t="inlineStr">
        <is>
          <t>SKÅNE LÄN</t>
        </is>
      </c>
      <c r="G52" t="inlineStr">
        <is>
          <t>HÖRBY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28550-2025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46259</v>
      </c>
      <c r="F53" t="inlineStr">
        <is>
          <t>SKÅNE LÄN</t>
        </is>
      </c>
      <c r="G53" t="inlineStr">
        <is>
          <t>HÖRBY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9612-2025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45715</v>
      </c>
      <c r="E54" s="1" t="n">
        <v>46259</v>
      </c>
      <c r="F54" t="inlineStr">
        <is>
          <t>SKÅNE LÄN</t>
        </is>
      </c>
      <c r="G54" t="inlineStr">
        <is>
          <t>HÖRBY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36840-2024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45538</v>
      </c>
      <c r="E55" s="1" t="n">
        <v>46259</v>
      </c>
      <c r="F55" t="inlineStr">
        <is>
          <t>SKÅNE LÄN</t>
        </is>
      </c>
      <c r="G55" t="inlineStr">
        <is>
          <t>HÖRBY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60913-2023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46259</v>
      </c>
      <c r="F56" t="inlineStr">
        <is>
          <t>SKÅNE LÄN</t>
        </is>
      </c>
      <c r="G56" t="inlineStr">
        <is>
          <t>HÖRBY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25850-2022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44733</v>
      </c>
      <c r="E57" s="1" t="n">
        <v>46259</v>
      </c>
      <c r="F57" t="inlineStr">
        <is>
          <t>SKÅNE LÄN</t>
        </is>
      </c>
      <c r="G57" t="inlineStr">
        <is>
          <t>HÖRBY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29244-2025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46259</v>
      </c>
      <c r="F58" t="inlineStr">
        <is>
          <t>SKÅNE LÄN</t>
        </is>
      </c>
      <c r="G58" t="inlineStr">
        <is>
          <t>HÖRBY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9974-2024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45363</v>
      </c>
      <c r="E59" s="1" t="n">
        <v>46259</v>
      </c>
      <c r="F59" t="inlineStr">
        <is>
          <t>SKÅNE LÄN</t>
        </is>
      </c>
      <c r="G59" t="inlineStr">
        <is>
          <t>HÖRBY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29354-2025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45824</v>
      </c>
      <c r="E60" s="1" t="n">
        <v>46259</v>
      </c>
      <c r="F60" t="inlineStr">
        <is>
          <t>SKÅNE LÄN</t>
        </is>
      </c>
      <c r="G60" t="inlineStr">
        <is>
          <t>HÖRBY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15970-2024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45405</v>
      </c>
      <c r="E61" s="1" t="n">
        <v>46259</v>
      </c>
      <c r="F61" t="inlineStr">
        <is>
          <t>SKÅNE LÄN</t>
        </is>
      </c>
      <c r="G61" t="inlineStr">
        <is>
          <t>HÖRBY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8084-2022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44608</v>
      </c>
      <c r="E62" s="1" t="n">
        <v>46259</v>
      </c>
      <c r="F62" t="inlineStr">
        <is>
          <t>SKÅNE LÄN</t>
        </is>
      </c>
      <c r="G62" t="inlineStr">
        <is>
          <t>HÖRBY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45330</v>
      </c>
      <c r="E63" s="1" t="n">
        <v>46259</v>
      </c>
      <c r="F63" t="inlineStr">
        <is>
          <t>SKÅNE LÄN</t>
        </is>
      </c>
      <c r="G63" t="inlineStr">
        <is>
          <t>HÖRBY</t>
        </is>
      </c>
      <c r="H63" t="inlineStr">
        <is>
          <t>Kyrkan</t>
        </is>
      </c>
      <c r="I63" t="n">
        <v>7.1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28625-2023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45103</v>
      </c>
      <c r="E64" s="1" t="n">
        <v>46259</v>
      </c>
      <c r="F64" t="inlineStr">
        <is>
          <t>SKÅNE LÄN</t>
        </is>
      </c>
      <c r="G64" t="inlineStr">
        <is>
          <t>HÖRBY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45315</v>
      </c>
      <c r="E65" s="1" t="n">
        <v>46259</v>
      </c>
      <c r="F65" t="inlineStr">
        <is>
          <t>SKÅNE LÄN</t>
        </is>
      </c>
      <c r="G65" t="inlineStr">
        <is>
          <t>HÖRBY</t>
        </is>
      </c>
      <c r="H65" t="inlineStr">
        <is>
          <t>Kyrkan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37724-2022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46259</v>
      </c>
      <c r="F66" t="inlineStr">
        <is>
          <t>SKÅNE LÄN</t>
        </is>
      </c>
      <c r="G66" t="inlineStr">
        <is>
          <t>HÖRBY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37728-2022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44810</v>
      </c>
      <c r="E67" s="1" t="n">
        <v>46259</v>
      </c>
      <c r="F67" t="inlineStr">
        <is>
          <t>SKÅNE LÄN</t>
        </is>
      </c>
      <c r="G67" t="inlineStr">
        <is>
          <t>HÖRBY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32459-2025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45838</v>
      </c>
      <c r="E68" s="1" t="n">
        <v>46259</v>
      </c>
      <c r="F68" t="inlineStr">
        <is>
          <t>SKÅNE LÄN</t>
        </is>
      </c>
      <c r="G68" t="inlineStr">
        <is>
          <t>HÖRBY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32958-2025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46259</v>
      </c>
      <c r="F69" t="inlineStr">
        <is>
          <t>SKÅNE LÄN</t>
        </is>
      </c>
      <c r="G69" t="inlineStr">
        <is>
          <t>HÖRBY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56818-2022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44894</v>
      </c>
      <c r="E70" s="1" t="n">
        <v>46259</v>
      </c>
      <c r="F70" t="inlineStr">
        <is>
          <t>SKÅNE LÄN</t>
        </is>
      </c>
      <c r="G70" t="inlineStr">
        <is>
          <t>HÖRBY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37756-2024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45541</v>
      </c>
      <c r="E71" s="1" t="n">
        <v>46259</v>
      </c>
      <c r="F71" t="inlineStr">
        <is>
          <t>SKÅNE LÄN</t>
        </is>
      </c>
      <c r="G71" t="inlineStr">
        <is>
          <t>HÖRBY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33359-2023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45128</v>
      </c>
      <c r="E72" s="1" t="n">
        <v>46259</v>
      </c>
      <c r="F72" t="inlineStr">
        <is>
          <t>SKÅNE LÄN</t>
        </is>
      </c>
      <c r="G72" t="inlineStr">
        <is>
          <t>HÖRBY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54894-2023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45236</v>
      </c>
      <c r="E73" s="1" t="n">
        <v>46259</v>
      </c>
      <c r="F73" t="inlineStr">
        <is>
          <t>SKÅNE LÄN</t>
        </is>
      </c>
      <c r="G73" t="inlineStr">
        <is>
          <t>HÖRBY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13804-2024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45391</v>
      </c>
      <c r="E74" s="1" t="n">
        <v>46259</v>
      </c>
      <c r="F74" t="inlineStr">
        <is>
          <t>SKÅNE LÄN</t>
        </is>
      </c>
      <c r="G74" t="inlineStr">
        <is>
          <t>HÖRBY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36355-2025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45868</v>
      </c>
      <c r="E75" s="1" t="n">
        <v>46259</v>
      </c>
      <c r="F75" t="inlineStr">
        <is>
          <t>SKÅNE LÄN</t>
        </is>
      </c>
      <c r="G75" t="inlineStr">
        <is>
          <t>HÖRBY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36362-2025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45868</v>
      </c>
      <c r="E76" s="1" t="n">
        <v>46259</v>
      </c>
      <c r="F76" t="inlineStr">
        <is>
          <t>SKÅNE LÄN</t>
        </is>
      </c>
      <c r="G76" t="inlineStr">
        <is>
          <t>HÖRBY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36689-2024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45537</v>
      </c>
      <c r="E77" s="1" t="n">
        <v>46259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9.5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46259</v>
      </c>
      <c r="F78" t="inlineStr">
        <is>
          <t>SKÅNE LÄN</t>
        </is>
      </c>
      <c r="G78" t="inlineStr">
        <is>
          <t>HÖRBY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45342</v>
      </c>
      <c r="E79" s="1" t="n">
        <v>46259</v>
      </c>
      <c r="F79" t="inlineStr">
        <is>
          <t>SKÅNE LÄN</t>
        </is>
      </c>
      <c r="G79" t="inlineStr">
        <is>
          <t>HÖRBY</t>
        </is>
      </c>
      <c r="H79" t="inlineStr">
        <is>
          <t>Sveaskog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25552-2025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45803</v>
      </c>
      <c r="E80" s="1" t="n">
        <v>46259</v>
      </c>
      <c r="F80" t="inlineStr">
        <is>
          <t>SKÅNE LÄN</t>
        </is>
      </c>
      <c r="G80" t="inlineStr">
        <is>
          <t>HÖRBY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28746-2024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45478</v>
      </c>
      <c r="E81" s="1" t="n">
        <v>46259</v>
      </c>
      <c r="F81" t="inlineStr">
        <is>
          <t>SKÅNE LÄN</t>
        </is>
      </c>
      <c r="G81" t="inlineStr">
        <is>
          <t>HÖRBY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38147-2025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45882</v>
      </c>
      <c r="E82" s="1" t="n">
        <v>46259</v>
      </c>
      <c r="F82" t="inlineStr">
        <is>
          <t>SKÅNE LÄN</t>
        </is>
      </c>
      <c r="G82" t="inlineStr">
        <is>
          <t>HÖRBY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44935</v>
      </c>
      <c r="E83" s="1" t="n">
        <v>46259</v>
      </c>
      <c r="F83" t="inlineStr">
        <is>
          <t>SKÅNE LÄN</t>
        </is>
      </c>
      <c r="G83" t="inlineStr">
        <is>
          <t>HÖRBY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37082-2023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45155</v>
      </c>
      <c r="E84" s="1" t="n">
        <v>46259</v>
      </c>
      <c r="F84" t="inlineStr">
        <is>
          <t>SKÅNE LÄN</t>
        </is>
      </c>
      <c r="G84" t="inlineStr">
        <is>
          <t>HÖRBY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46259</v>
      </c>
      <c r="F85" t="inlineStr">
        <is>
          <t>SKÅNE LÄN</t>
        </is>
      </c>
      <c r="G85" t="inlineStr">
        <is>
          <t>HÖRBY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45034</v>
      </c>
      <c r="E86" s="1" t="n">
        <v>46259</v>
      </c>
      <c r="F86" t="inlineStr">
        <is>
          <t>SKÅNE LÄN</t>
        </is>
      </c>
      <c r="G86" t="inlineStr">
        <is>
          <t>HÖRBY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2979-2024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45315</v>
      </c>
      <c r="E87" s="1" t="n">
        <v>46259</v>
      </c>
      <c r="F87" t="inlineStr">
        <is>
          <t>SKÅNE LÄN</t>
        </is>
      </c>
      <c r="G87" t="inlineStr">
        <is>
          <t>HÖRBY</t>
        </is>
      </c>
      <c r="H87" t="inlineStr">
        <is>
          <t>Kyrkan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28785-2023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45104</v>
      </c>
      <c r="E88" s="1" t="n">
        <v>46259</v>
      </c>
      <c r="F88" t="inlineStr">
        <is>
          <t>SKÅNE LÄN</t>
        </is>
      </c>
      <c r="G88" t="inlineStr">
        <is>
          <t>HÖRBY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45117</v>
      </c>
      <c r="E89" s="1" t="n">
        <v>46259</v>
      </c>
      <c r="F89" t="inlineStr">
        <is>
          <t>SKÅNE LÄN</t>
        </is>
      </c>
      <c r="G89" t="inlineStr">
        <is>
          <t>HÖRBY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13225-2024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45386</v>
      </c>
      <c r="E90" s="1" t="n">
        <v>46259</v>
      </c>
      <c r="F90" t="inlineStr">
        <is>
          <t>SKÅNE LÄN</t>
        </is>
      </c>
      <c r="G90" t="inlineStr">
        <is>
          <t>HÖRBY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46259</v>
      </c>
      <c r="F91" t="inlineStr">
        <is>
          <t>SKÅNE LÄN</t>
        </is>
      </c>
      <c r="G91" t="inlineStr">
        <is>
          <t>HÖRBY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44858</v>
      </c>
      <c r="E92" s="1" t="n">
        <v>46259</v>
      </c>
      <c r="F92" t="inlineStr">
        <is>
          <t>SKÅNE LÄN</t>
        </is>
      </c>
      <c r="G92" t="inlineStr">
        <is>
          <t>HÖRBY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14307-2026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46099</v>
      </c>
      <c r="E93" s="1" t="n">
        <v>46259</v>
      </c>
      <c r="F93" t="inlineStr">
        <is>
          <t>SKÅNE LÄN</t>
        </is>
      </c>
      <c r="G93" t="inlineStr">
        <is>
          <t>HÖRBY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15998-2024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45405</v>
      </c>
      <c r="E94" s="1" t="n">
        <v>46259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16001-2024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45405</v>
      </c>
      <c r="E95" s="1" t="n">
        <v>46259</v>
      </c>
      <c r="F95" t="inlineStr">
        <is>
          <t>SKÅNE LÄN</t>
        </is>
      </c>
      <c r="G95" t="inlineStr">
        <is>
          <t>HÖRBY</t>
        </is>
      </c>
      <c r="I95" t="n">
        <v>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3520-2026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46042</v>
      </c>
      <c r="E96" s="1" t="n">
        <v>46259</v>
      </c>
      <c r="F96" t="inlineStr">
        <is>
          <t>SKÅNE LÄN</t>
        </is>
      </c>
      <c r="G96" t="inlineStr">
        <is>
          <t>HÖRBY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46042</v>
      </c>
      <c r="E97" s="1" t="n">
        <v>46259</v>
      </c>
      <c r="F97" t="inlineStr">
        <is>
          <t>SKÅNE LÄN</t>
        </is>
      </c>
      <c r="G97" t="inlineStr">
        <is>
          <t>HÖRBY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9850-2026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46259</v>
      </c>
      <c r="F98" t="inlineStr">
        <is>
          <t>SKÅNE LÄN</t>
        </is>
      </c>
      <c r="G98" t="inlineStr">
        <is>
          <t>HÖRBY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46042</v>
      </c>
      <c r="E99" s="1" t="n">
        <v>46259</v>
      </c>
      <c r="F99" t="inlineStr">
        <is>
          <t>SKÅNE LÄN</t>
        </is>
      </c>
      <c r="G99" t="inlineStr">
        <is>
          <t>HÖRBY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54184-2024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46259</v>
      </c>
      <c r="F100" t="inlineStr">
        <is>
          <t>SKÅNE LÄN</t>
        </is>
      </c>
      <c r="G100" t="inlineStr">
        <is>
          <t>HÖRBY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43828-2024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45572</v>
      </c>
      <c r="E101" s="1" t="n">
        <v>46259</v>
      </c>
      <c r="F101" t="inlineStr">
        <is>
          <t>SKÅNE LÄN</t>
        </is>
      </c>
      <c r="G101" t="inlineStr">
        <is>
          <t>HÖRBY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43932-2023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45187</v>
      </c>
      <c r="E102" s="1" t="n">
        <v>46259</v>
      </c>
      <c r="F102" t="inlineStr">
        <is>
          <t>SKÅNE LÄN</t>
        </is>
      </c>
      <c r="G102" t="inlineStr">
        <is>
          <t>HÖRBY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43935-2023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45187</v>
      </c>
      <c r="E103" s="1" t="n">
        <v>46259</v>
      </c>
      <c r="F103" t="inlineStr">
        <is>
          <t>SKÅNE LÄN</t>
        </is>
      </c>
      <c r="G103" t="inlineStr">
        <is>
          <t>HÖRBY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45845</v>
      </c>
      <c r="E104" s="1" t="n">
        <v>46259</v>
      </c>
      <c r="F104" t="inlineStr">
        <is>
          <t>SKÅNE LÄN</t>
        </is>
      </c>
      <c r="G104" t="inlineStr">
        <is>
          <t>HÖRBY</t>
        </is>
      </c>
      <c r="I104" t="n">
        <v>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46259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45316</v>
      </c>
      <c r="E106" s="1" t="n">
        <v>46259</v>
      </c>
      <c r="F106" t="inlineStr">
        <is>
          <t>SKÅNE LÄN</t>
        </is>
      </c>
      <c r="G106" t="inlineStr">
        <is>
          <t>HÖRBY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44816-2023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45190</v>
      </c>
      <c r="E107" s="1" t="n">
        <v>46259</v>
      </c>
      <c r="F107" t="inlineStr">
        <is>
          <t>SKÅNE LÄN</t>
        </is>
      </c>
      <c r="G107" t="inlineStr">
        <is>
          <t>HÖRBY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47552-2023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45203</v>
      </c>
      <c r="E108" s="1" t="n">
        <v>46259</v>
      </c>
      <c r="F108" t="inlineStr">
        <is>
          <t>SKÅNE LÄN</t>
        </is>
      </c>
      <c r="G108" t="inlineStr">
        <is>
          <t>HÖRBY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54431-2023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45226</v>
      </c>
      <c r="E109" s="1" t="n">
        <v>46259</v>
      </c>
      <c r="F109" t="inlineStr">
        <is>
          <t>SKÅNE LÄN</t>
        </is>
      </c>
      <c r="G109" t="inlineStr">
        <is>
          <t>HÖRBY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7402-2026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46059</v>
      </c>
      <c r="E110" s="1" t="n">
        <v>46259</v>
      </c>
      <c r="F110" t="inlineStr">
        <is>
          <t>SKÅNE LÄN</t>
        </is>
      </c>
      <c r="G110" t="inlineStr">
        <is>
          <t>HÖRBY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18609-2025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46259</v>
      </c>
      <c r="F111" t="inlineStr">
        <is>
          <t>SKÅNE LÄN</t>
        </is>
      </c>
      <c r="G111" t="inlineStr">
        <is>
          <t>HÖRBY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19777-2023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45051</v>
      </c>
      <c r="E112" s="1" t="n">
        <v>46259</v>
      </c>
      <c r="F112" t="inlineStr">
        <is>
          <t>SKÅNE LÄN</t>
        </is>
      </c>
      <c r="G112" t="inlineStr">
        <is>
          <t>HÖRBY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45238</v>
      </c>
      <c r="E113" s="1" t="n">
        <v>46259</v>
      </c>
      <c r="F113" t="inlineStr">
        <is>
          <t>SKÅNE LÄN</t>
        </is>
      </c>
      <c r="G113" t="inlineStr">
        <is>
          <t>HÖRBY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42715-2023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45176</v>
      </c>
      <c r="E114" s="1" t="n">
        <v>46259</v>
      </c>
      <c r="F114" t="inlineStr">
        <is>
          <t>SKÅNE LÄN</t>
        </is>
      </c>
      <c r="G114" t="inlineStr">
        <is>
          <t>HÖRBY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13633-2024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45390</v>
      </c>
      <c r="E115" s="1" t="n">
        <v>46259</v>
      </c>
      <c r="F115" t="inlineStr">
        <is>
          <t>SKÅNE LÄN</t>
        </is>
      </c>
      <c r="G115" t="inlineStr">
        <is>
          <t>HÖRBY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43879-2023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46259</v>
      </c>
      <c r="F116" t="inlineStr">
        <is>
          <t>SKÅNE LÄN</t>
        </is>
      </c>
      <c r="G116" t="inlineStr">
        <is>
          <t>HÖRBY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3471-2025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45680</v>
      </c>
      <c r="E117" s="1" t="n">
        <v>46259</v>
      </c>
      <c r="F117" t="inlineStr">
        <is>
          <t>SKÅNE LÄN</t>
        </is>
      </c>
      <c r="G117" t="inlineStr">
        <is>
          <t>HÖRBY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49726-2023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45208</v>
      </c>
      <c r="E118" s="1" t="n">
        <v>46259</v>
      </c>
      <c r="F118" t="inlineStr">
        <is>
          <t>SKÅNE LÄN</t>
        </is>
      </c>
      <c r="G118" t="inlineStr">
        <is>
          <t>HÖRBY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28501-2023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45103</v>
      </c>
      <c r="E119" s="1" t="n">
        <v>46259</v>
      </c>
      <c r="F119" t="inlineStr">
        <is>
          <t>SKÅNE LÄN</t>
        </is>
      </c>
      <c r="G119" t="inlineStr">
        <is>
          <t>HÖRBY</t>
        </is>
      </c>
      <c r="I119" t="n">
        <v>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33873-2024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45521</v>
      </c>
      <c r="E120" s="1" t="n">
        <v>46259</v>
      </c>
      <c r="F120" t="inlineStr">
        <is>
          <t>SKÅNE LÄN</t>
        </is>
      </c>
      <c r="G120" t="inlineStr">
        <is>
          <t>HÖRBY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58641-2023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45251</v>
      </c>
      <c r="E121" s="1" t="n">
        <v>46259</v>
      </c>
      <c r="F121" t="inlineStr">
        <is>
          <t>SKÅNE LÄN</t>
        </is>
      </c>
      <c r="G121" t="inlineStr">
        <is>
          <t>HÖRBY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46259</v>
      </c>
      <c r="F122" t="inlineStr">
        <is>
          <t>SKÅNE LÄN</t>
        </is>
      </c>
      <c r="G122" t="inlineStr">
        <is>
          <t>HÖRBY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46049</v>
      </c>
      <c r="E123" s="1" t="n">
        <v>46259</v>
      </c>
      <c r="F123" t="inlineStr">
        <is>
          <t>SKÅNE LÄN</t>
        </is>
      </c>
      <c r="G123" t="inlineStr">
        <is>
          <t>HÖRBY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3346-2024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45317</v>
      </c>
      <c r="E124" s="1" t="n">
        <v>46259</v>
      </c>
      <c r="F124" t="inlineStr">
        <is>
          <t>SKÅNE LÄN</t>
        </is>
      </c>
      <c r="G124" t="inlineStr">
        <is>
          <t>HÖRBY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46259</v>
      </c>
      <c r="F125" t="inlineStr">
        <is>
          <t>SKÅNE LÄN</t>
        </is>
      </c>
      <c r="G125" t="inlineStr">
        <is>
          <t>HÖRBY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58360-2023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45250</v>
      </c>
      <c r="E126" s="1" t="n">
        <v>46259</v>
      </c>
      <c r="F126" t="inlineStr">
        <is>
          <t>SKÅNE LÄN</t>
        </is>
      </c>
      <c r="G126" t="inlineStr">
        <is>
          <t>HÖRBY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39298-2023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45166</v>
      </c>
      <c r="E127" s="1" t="n">
        <v>46259</v>
      </c>
      <c r="F127" t="inlineStr">
        <is>
          <t>SKÅNE LÄN</t>
        </is>
      </c>
      <c r="G127" t="inlineStr">
        <is>
          <t>HÖRBY</t>
        </is>
      </c>
      <c r="I127" t="n">
        <v>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29219-2023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45105</v>
      </c>
      <c r="E128" s="1" t="n">
        <v>46259</v>
      </c>
      <c r="F128" t="inlineStr">
        <is>
          <t>SKÅNE LÄN</t>
        </is>
      </c>
      <c r="G128" t="inlineStr">
        <is>
          <t>HÖRBY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45680</v>
      </c>
      <c r="E129" s="1" t="n">
        <v>46259</v>
      </c>
      <c r="F129" t="inlineStr">
        <is>
          <t>SKÅNE LÄN</t>
        </is>
      </c>
      <c r="G129" t="inlineStr">
        <is>
          <t>HÖRBY</t>
        </is>
      </c>
      <c r="H129" t="inlineStr">
        <is>
          <t>Kyrkan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65073-2023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45287</v>
      </c>
      <c r="E130" s="1" t="n">
        <v>46259</v>
      </c>
      <c r="F130" t="inlineStr">
        <is>
          <t>SKÅNE LÄN</t>
        </is>
      </c>
      <c r="G130" t="inlineStr">
        <is>
          <t>HÖRBY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47637-2023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45203</v>
      </c>
      <c r="E131" s="1" t="n">
        <v>46259</v>
      </c>
      <c r="F131" t="inlineStr">
        <is>
          <t>SKÅNE LÄN</t>
        </is>
      </c>
      <c r="G131" t="inlineStr">
        <is>
          <t>HÖRBY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50715-2024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45602</v>
      </c>
      <c r="E132" s="1" t="n">
        <v>46259</v>
      </c>
      <c r="F132" t="inlineStr">
        <is>
          <t>SKÅNE LÄN</t>
        </is>
      </c>
      <c r="G132" t="inlineStr">
        <is>
          <t>HÖRBY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2816-2025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45677</v>
      </c>
      <c r="E133" s="1" t="n">
        <v>46259</v>
      </c>
      <c r="F133" t="inlineStr">
        <is>
          <t>SKÅNE LÄN</t>
        </is>
      </c>
      <c r="G133" t="inlineStr">
        <is>
          <t>HÖRBY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16101-2025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45750</v>
      </c>
      <c r="E134" s="1" t="n">
        <v>46259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34422-2024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45525</v>
      </c>
      <c r="E135" s="1" t="n">
        <v>46259</v>
      </c>
      <c r="F135" t="inlineStr">
        <is>
          <t>SKÅNE LÄN</t>
        </is>
      </c>
      <c r="G135" t="inlineStr">
        <is>
          <t>HÖRBY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24670-2024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45460</v>
      </c>
      <c r="E136" s="1" t="n">
        <v>46259</v>
      </c>
      <c r="F136" t="inlineStr">
        <is>
          <t>SKÅNE LÄN</t>
        </is>
      </c>
      <c r="G136" t="inlineStr">
        <is>
          <t>HÖRBY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11943-2025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45728</v>
      </c>
      <c r="E137" s="1" t="n">
        <v>46259</v>
      </c>
      <c r="F137" t="inlineStr">
        <is>
          <t>SKÅNE LÄN</t>
        </is>
      </c>
      <c r="G137" t="inlineStr">
        <is>
          <t>HÖRBY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34147-2025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45845</v>
      </c>
      <c r="E138" s="1" t="n">
        <v>46259</v>
      </c>
      <c r="F138" t="inlineStr">
        <is>
          <t>SKÅNE LÄN</t>
        </is>
      </c>
      <c r="G138" t="inlineStr">
        <is>
          <t>HÖRBY</t>
        </is>
      </c>
      <c r="I138" t="n">
        <v>18.7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44613-2023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45189</v>
      </c>
      <c r="E139" s="1" t="n">
        <v>46259</v>
      </c>
      <c r="F139" t="inlineStr">
        <is>
          <t>SKÅNE LÄN</t>
        </is>
      </c>
      <c r="G139" t="inlineStr">
        <is>
          <t>HÖRBY</t>
        </is>
      </c>
      <c r="H139" t="inlineStr">
        <is>
          <t>Sveaskog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6081-2023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44959</v>
      </c>
      <c r="E140" s="1" t="n">
        <v>46259</v>
      </c>
      <c r="F140" t="inlineStr">
        <is>
          <t>SKÅNE LÄN</t>
        </is>
      </c>
      <c r="G140" t="inlineStr">
        <is>
          <t>HÖRBY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43937-2023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45187</v>
      </c>
      <c r="E141" s="1" t="n">
        <v>46259</v>
      </c>
      <c r="F141" t="inlineStr">
        <is>
          <t>SKÅNE LÄN</t>
        </is>
      </c>
      <c r="G141" t="inlineStr">
        <is>
          <t>HÖRBY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43939-2023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46259</v>
      </c>
      <c r="F142" t="inlineStr">
        <is>
          <t>SKÅNE LÄN</t>
        </is>
      </c>
      <c r="G142" t="inlineStr">
        <is>
          <t>HÖRBY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67426-2021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44523</v>
      </c>
      <c r="E143" s="1" t="n">
        <v>46259</v>
      </c>
      <c r="F143" t="inlineStr">
        <is>
          <t>SKÅNE LÄN</t>
        </is>
      </c>
      <c r="G143" t="inlineStr">
        <is>
          <t>HÖRBY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31114-2024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45502</v>
      </c>
      <c r="E144" s="1" t="n">
        <v>46259</v>
      </c>
      <c r="F144" t="inlineStr">
        <is>
          <t>SKÅNE LÄN</t>
        </is>
      </c>
      <c r="G144" t="inlineStr">
        <is>
          <t>HÖRBY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11941-2025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45728</v>
      </c>
      <c r="E145" s="1" t="n">
        <v>46259</v>
      </c>
      <c r="F145" t="inlineStr">
        <is>
          <t>SKÅNE LÄN</t>
        </is>
      </c>
      <c r="G145" t="inlineStr">
        <is>
          <t>HÖRBY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45680</v>
      </c>
      <c r="E146" s="1" t="n">
        <v>46259</v>
      </c>
      <c r="F146" t="inlineStr">
        <is>
          <t>SKÅNE LÄN</t>
        </is>
      </c>
      <c r="G146" t="inlineStr">
        <is>
          <t>HÖRBY</t>
        </is>
      </c>
      <c r="H146" t="inlineStr">
        <is>
          <t>Kyrkan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7831-2025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45706</v>
      </c>
      <c r="E147" s="1" t="n">
        <v>46259</v>
      </c>
      <c r="F147" t="inlineStr">
        <is>
          <t>SKÅNE LÄN</t>
        </is>
      </c>
      <c r="G147" t="inlineStr">
        <is>
          <t>HÖRBY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38684-2022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44814</v>
      </c>
      <c r="E148" s="1" t="n">
        <v>46259</v>
      </c>
      <c r="F148" t="inlineStr">
        <is>
          <t>SKÅNE LÄN</t>
        </is>
      </c>
      <c r="G148" t="inlineStr">
        <is>
          <t>HÖRBY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37757-2024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46259</v>
      </c>
      <c r="F149" t="inlineStr">
        <is>
          <t>SKÅNE LÄN</t>
        </is>
      </c>
      <c r="G149" t="inlineStr">
        <is>
          <t>HÖRBY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25183-2023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45079</v>
      </c>
      <c r="E150" s="1" t="n">
        <v>46259</v>
      </c>
      <c r="F150" t="inlineStr">
        <is>
          <t>SKÅNE LÄN</t>
        </is>
      </c>
      <c r="G150" t="inlineStr">
        <is>
          <t>HÖRBY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44073-2024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46259</v>
      </c>
      <c r="F151" t="inlineStr">
        <is>
          <t>SKÅNE LÄN</t>
        </is>
      </c>
      <c r="G151" t="inlineStr">
        <is>
          <t>HÖRBY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46259</v>
      </c>
      <c r="F152" t="inlineStr">
        <is>
          <t>SKÅNE LÄN</t>
        </is>
      </c>
      <c r="G152" t="inlineStr">
        <is>
          <t>HÖRBY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45540</v>
      </c>
      <c r="E153" s="1" t="n">
        <v>46259</v>
      </c>
      <c r="F153" t="inlineStr">
        <is>
          <t>SKÅNE LÄN</t>
        </is>
      </c>
      <c r="G153" t="inlineStr">
        <is>
          <t>HÖRBY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20595-2024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45436</v>
      </c>
      <c r="E154" s="1" t="n">
        <v>46259</v>
      </c>
      <c r="F154" t="inlineStr">
        <is>
          <t>SKÅNE LÄN</t>
        </is>
      </c>
      <c r="G154" t="inlineStr">
        <is>
          <t>HÖRBY</t>
        </is>
      </c>
      <c r="H154" t="inlineStr">
        <is>
          <t>Sveaskog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51757-2025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45951</v>
      </c>
      <c r="E155" s="1" t="n">
        <v>46259</v>
      </c>
      <c r="F155" t="inlineStr">
        <is>
          <t>SKÅNE LÄN</t>
        </is>
      </c>
      <c r="G155" t="inlineStr">
        <is>
          <t>HÖRBY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46259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52929-2025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45957</v>
      </c>
      <c r="E157" s="1" t="n">
        <v>46259</v>
      </c>
      <c r="F157" t="inlineStr">
        <is>
          <t>SKÅNE LÄN</t>
        </is>
      </c>
      <c r="G157" t="inlineStr">
        <is>
          <t>HÖRBY</t>
        </is>
      </c>
      <c r="H157" t="inlineStr">
        <is>
          <t>Sveaskog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43685-2022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44837</v>
      </c>
      <c r="E158" s="1" t="n">
        <v>46259</v>
      </c>
      <c r="F158" t="inlineStr">
        <is>
          <t>SKÅNE LÄN</t>
        </is>
      </c>
      <c r="G158" t="inlineStr">
        <is>
          <t>HÖRBY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4590-2026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46048</v>
      </c>
      <c r="E159" s="1" t="n">
        <v>46259</v>
      </c>
      <c r="F159" t="inlineStr">
        <is>
          <t>SKÅNE LÄN</t>
        </is>
      </c>
      <c r="G159" t="inlineStr">
        <is>
          <t>HÖRBY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46051</v>
      </c>
      <c r="E160" s="1" t="n">
        <v>46259</v>
      </c>
      <c r="F160" t="inlineStr">
        <is>
          <t>SKÅNE LÄN</t>
        </is>
      </c>
      <c r="G160" t="inlineStr">
        <is>
          <t>HÖRBY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52930-2025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45957</v>
      </c>
      <c r="E161" s="1" t="n">
        <v>46259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24724-2024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45460</v>
      </c>
      <c r="E162" s="1" t="n">
        <v>46259</v>
      </c>
      <c r="F162" t="inlineStr">
        <is>
          <t>SKÅNE LÄN</t>
        </is>
      </c>
      <c r="G162" t="inlineStr">
        <is>
          <t>HÖRBY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18369-2025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45762</v>
      </c>
      <c r="E163" s="1" t="n">
        <v>46259</v>
      </c>
      <c r="F163" t="inlineStr">
        <is>
          <t>SKÅNE LÄN</t>
        </is>
      </c>
      <c r="G163" t="inlineStr">
        <is>
          <t>HÖRBY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31286-2026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46218</v>
      </c>
      <c r="E164" s="1" t="n">
        <v>46259</v>
      </c>
      <c r="F164" t="inlineStr">
        <is>
          <t>SKÅNE LÄN</t>
        </is>
      </c>
      <c r="G164" t="inlineStr">
        <is>
          <t>HÖRBY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6558-2025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45699</v>
      </c>
      <c r="E165" s="1" t="n">
        <v>46259</v>
      </c>
      <c r="F165" t="inlineStr">
        <is>
          <t>SKÅNE LÄN</t>
        </is>
      </c>
      <c r="G165" t="inlineStr">
        <is>
          <t>HÖRBY</t>
        </is>
      </c>
      <c r="H165" t="inlineStr">
        <is>
          <t>Kommuner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54765-2025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45966</v>
      </c>
      <c r="E166" s="1" t="n">
        <v>46259</v>
      </c>
      <c r="F166" t="inlineStr">
        <is>
          <t>SKÅNE LÄN</t>
        </is>
      </c>
      <c r="G166" t="inlineStr">
        <is>
          <t>HÖRBY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44944</v>
      </c>
      <c r="E167" s="1" t="n">
        <v>46259</v>
      </c>
      <c r="F167" t="inlineStr">
        <is>
          <t>SKÅNE LÄN</t>
        </is>
      </c>
      <c r="G167" t="inlineStr">
        <is>
          <t>HÖRBY</t>
        </is>
      </c>
      <c r="H167" t="inlineStr">
        <is>
          <t>Sveaskog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44775</v>
      </c>
      <c r="E168" s="1" t="n">
        <v>46259</v>
      </c>
      <c r="F168" t="inlineStr">
        <is>
          <t>SKÅNE LÄN</t>
        </is>
      </c>
      <c r="G168" t="inlineStr">
        <is>
          <t>HÖRBY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46041</v>
      </c>
      <c r="E169" s="1" t="n">
        <v>46259</v>
      </c>
      <c r="F169" t="inlineStr">
        <is>
          <t>SKÅNE LÄN</t>
        </is>
      </c>
      <c r="G169" t="inlineStr">
        <is>
          <t>HÖRBY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55265-2023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45237</v>
      </c>
      <c r="E170" s="1" t="n">
        <v>46259</v>
      </c>
      <c r="F170" t="inlineStr">
        <is>
          <t>SKÅNE LÄN</t>
        </is>
      </c>
      <c r="G170" t="inlineStr">
        <is>
          <t>HÖRBY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40994-2025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45898</v>
      </c>
      <c r="E171" s="1" t="n">
        <v>46259</v>
      </c>
      <c r="F171" t="inlineStr">
        <is>
          <t>SKÅNE LÄN</t>
        </is>
      </c>
      <c r="G171" t="inlineStr">
        <is>
          <t>HÖRBY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45104</v>
      </c>
      <c r="E172" s="1" t="n">
        <v>46259</v>
      </c>
      <c r="F172" t="inlineStr">
        <is>
          <t>SKÅNE LÄN</t>
        </is>
      </c>
      <c r="G172" t="inlineStr">
        <is>
          <t>HÖRBY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44946</v>
      </c>
      <c r="E173" s="1" t="n">
        <v>46259</v>
      </c>
      <c r="F173" t="inlineStr">
        <is>
          <t>SKÅNE LÄN</t>
        </is>
      </c>
      <c r="G173" t="inlineStr">
        <is>
          <t>HÖRBY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55304-2025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45970</v>
      </c>
      <c r="E174" s="1" t="n">
        <v>46259</v>
      </c>
      <c r="F174" t="inlineStr">
        <is>
          <t>SKÅNE LÄN</t>
        </is>
      </c>
      <c r="G174" t="inlineStr">
        <is>
          <t>HÖRBY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55306-2025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45970</v>
      </c>
      <c r="E175" s="1" t="n">
        <v>46259</v>
      </c>
      <c r="F175" t="inlineStr">
        <is>
          <t>SKÅNE LÄN</t>
        </is>
      </c>
      <c r="G175" t="inlineStr">
        <is>
          <t>HÖRBY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13228-2024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45386</v>
      </c>
      <c r="E176" s="1" t="n">
        <v>46259</v>
      </c>
      <c r="F176" t="inlineStr">
        <is>
          <t>SKÅNE LÄN</t>
        </is>
      </c>
      <c r="G176" t="inlineStr">
        <is>
          <t>HÖRBY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44858</v>
      </c>
      <c r="E177" s="1" t="n">
        <v>46259</v>
      </c>
      <c r="F177" t="inlineStr">
        <is>
          <t>SKÅNE LÄN</t>
        </is>
      </c>
      <c r="G177" t="inlineStr">
        <is>
          <t>HÖRBY</t>
        </is>
      </c>
      <c r="H177" t="inlineStr">
        <is>
          <t>Sveaskog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45688</v>
      </c>
      <c r="E178" s="1" t="n">
        <v>46259</v>
      </c>
      <c r="F178" t="inlineStr">
        <is>
          <t>SKÅNE LÄN</t>
        </is>
      </c>
      <c r="G178" t="inlineStr">
        <is>
          <t>HÖRBY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57269-2025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45979</v>
      </c>
      <c r="E179" s="1" t="n">
        <v>46259</v>
      </c>
      <c r="F179" t="inlineStr">
        <is>
          <t>SKÅNE LÄN</t>
        </is>
      </c>
      <c r="G179" t="inlineStr">
        <is>
          <t>HÖRBY</t>
        </is>
      </c>
      <c r="H179" t="inlineStr">
        <is>
          <t>Sveaskog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59284-2025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46259</v>
      </c>
      <c r="F180" t="inlineStr">
        <is>
          <t>SKÅNE LÄN</t>
        </is>
      </c>
      <c r="G180" t="inlineStr">
        <is>
          <t>HÖRBY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33358-2023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45128</v>
      </c>
      <c r="E181" s="1" t="n">
        <v>46259</v>
      </c>
      <c r="F181" t="inlineStr">
        <is>
          <t>SKÅNE LÄN</t>
        </is>
      </c>
      <c r="G181" t="inlineStr">
        <is>
          <t>HÖRBY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59308-2025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46259</v>
      </c>
      <c r="F182" t="inlineStr">
        <is>
          <t>SKÅNE LÄN</t>
        </is>
      </c>
      <c r="G182" t="inlineStr">
        <is>
          <t>HÖRBY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39507-2024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45551</v>
      </c>
      <c r="E183" s="1" t="n">
        <v>46259</v>
      </c>
      <c r="F183" t="inlineStr">
        <is>
          <t>SKÅNE LÄN</t>
        </is>
      </c>
      <c r="G183" t="inlineStr">
        <is>
          <t>HÖRBY</t>
        </is>
      </c>
      <c r="H183" t="inlineStr">
        <is>
          <t>Sveaskog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41940-2022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44833</v>
      </c>
      <c r="E184" s="1" t="n">
        <v>46259</v>
      </c>
      <c r="F184" t="inlineStr">
        <is>
          <t>SKÅNE LÄN</t>
        </is>
      </c>
      <c r="G184" t="inlineStr">
        <is>
          <t>HÖRBY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43882-2023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46259</v>
      </c>
      <c r="F185" t="inlineStr">
        <is>
          <t>SKÅNE LÄN</t>
        </is>
      </c>
      <c r="G185" t="inlineStr">
        <is>
          <t>HÖRBY</t>
        </is>
      </c>
      <c r="H185" t="inlineStr">
        <is>
          <t>Sveaskog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28527-2023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46259</v>
      </c>
      <c r="F186" t="inlineStr">
        <is>
          <t>SKÅNE LÄN</t>
        </is>
      </c>
      <c r="G186" t="inlineStr">
        <is>
          <t>HÖRBY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10524-2026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46076</v>
      </c>
      <c r="E187" s="1" t="n">
        <v>46259</v>
      </c>
      <c r="F187" t="inlineStr">
        <is>
          <t>SKÅNE LÄN</t>
        </is>
      </c>
      <c r="G187" t="inlineStr">
        <is>
          <t>HÖRBY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46076</v>
      </c>
      <c r="E188" s="1" t="n">
        <v>46259</v>
      </c>
      <c r="F188" t="inlineStr">
        <is>
          <t>SKÅNE LÄN</t>
        </is>
      </c>
      <c r="G188" t="inlineStr">
        <is>
          <t>HÖRBY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19420-2022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44693</v>
      </c>
      <c r="E189" s="1" t="n">
        <v>46259</v>
      </c>
      <c r="F189" t="inlineStr">
        <is>
          <t>SKÅNE LÄN</t>
        </is>
      </c>
      <c r="G189" t="inlineStr">
        <is>
          <t>HÖRBY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45970</v>
      </c>
      <c r="E190" s="1" t="n">
        <v>46259</v>
      </c>
      <c r="F190" t="inlineStr">
        <is>
          <t>SKÅNE LÄN</t>
        </is>
      </c>
      <c r="G190" t="inlineStr">
        <is>
          <t>HÖRBY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46259</v>
      </c>
      <c r="F191" t="inlineStr">
        <is>
          <t>SKÅNE LÄN</t>
        </is>
      </c>
      <c r="G191" t="inlineStr">
        <is>
          <t>HÖRBY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46259</v>
      </c>
      <c r="F192" t="inlineStr">
        <is>
          <t>SKÅNE LÄN</t>
        </is>
      </c>
      <c r="G192" t="inlineStr">
        <is>
          <t>HÖRBY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29138-2026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46202</v>
      </c>
      <c r="E193" s="1" t="n">
        <v>46259</v>
      </c>
      <c r="F193" t="inlineStr">
        <is>
          <t>SKÅNE LÄN</t>
        </is>
      </c>
      <c r="G193" t="inlineStr">
        <is>
          <t>HÖRBY</t>
        </is>
      </c>
      <c r="H193" t="inlineStr">
        <is>
          <t>Sveaskog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46259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29137-2026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46202</v>
      </c>
      <c r="E195" s="1" t="n">
        <v>46259</v>
      </c>
      <c r="F195" t="inlineStr">
        <is>
          <t>SKÅNE LÄN</t>
        </is>
      </c>
      <c r="G195" t="inlineStr">
        <is>
          <t>HÖRBY</t>
        </is>
      </c>
      <c r="H195" t="inlineStr">
        <is>
          <t>Sveaskog</t>
        </is>
      </c>
      <c r="I195" t="n">
        <v>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45203</v>
      </c>
      <c r="E196" s="1" t="n">
        <v>46259</v>
      </c>
      <c r="F196" t="inlineStr">
        <is>
          <t>SKÅNE LÄN</t>
        </is>
      </c>
      <c r="G196" t="inlineStr">
        <is>
          <t>HÖRBY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46259</v>
      </c>
      <c r="F197" t="inlineStr">
        <is>
          <t>SKÅNE LÄN</t>
        </is>
      </c>
      <c r="G197" t="inlineStr">
        <is>
          <t>HÖRBY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826-2026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46030</v>
      </c>
      <c r="E198" s="1" t="n">
        <v>46259</v>
      </c>
      <c r="F198" t="inlineStr">
        <is>
          <t>SKÅNE LÄN</t>
        </is>
      </c>
      <c r="G198" t="inlineStr">
        <is>
          <t>HÖRBY</t>
        </is>
      </c>
      <c r="H198" t="inlineStr">
        <is>
          <t>Sveaskog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829-2026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46030</v>
      </c>
      <c r="E199" s="1" t="n">
        <v>46259</v>
      </c>
      <c r="F199" t="inlineStr">
        <is>
          <t>SKÅNE LÄN</t>
        </is>
      </c>
      <c r="G199" t="inlineStr">
        <is>
          <t>HÖRBY</t>
        </is>
      </c>
      <c r="H199" t="inlineStr">
        <is>
          <t>Sveaskog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46259</v>
      </c>
      <c r="F200" t="inlineStr">
        <is>
          <t>SKÅNE LÄN</t>
        </is>
      </c>
      <c r="G200" t="inlineStr">
        <is>
          <t>HÖRBY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821-2026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46030</v>
      </c>
      <c r="E201" s="1" t="n">
        <v>46259</v>
      </c>
      <c r="F201" t="inlineStr">
        <is>
          <t>SKÅNE LÄN</t>
        </is>
      </c>
      <c r="G201" t="inlineStr">
        <is>
          <t>HÖRBY</t>
        </is>
      </c>
      <c r="H201" t="inlineStr">
        <is>
          <t>Sveaskog</t>
        </is>
      </c>
      <c r="I201" t="n">
        <v>4.3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46029</v>
      </c>
      <c r="E202" s="1" t="n">
        <v>46259</v>
      </c>
      <c r="F202" t="inlineStr">
        <is>
          <t>SKÅNE LÄN</t>
        </is>
      </c>
      <c r="G202" t="inlineStr">
        <is>
          <t>HÖRBY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46035</v>
      </c>
      <c r="E203" s="1" t="n">
        <v>46259</v>
      </c>
      <c r="F203" t="inlineStr">
        <is>
          <t>SKÅNE LÄN</t>
        </is>
      </c>
      <c r="G203" t="inlineStr">
        <is>
          <t>HÖRBY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46038</v>
      </c>
      <c r="E204" s="1" t="n">
        <v>46259</v>
      </c>
      <c r="F204" t="inlineStr">
        <is>
          <t>SKÅNE LÄN</t>
        </is>
      </c>
      <c r="G204" t="inlineStr">
        <is>
          <t>HÖRBY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23606-2026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46162</v>
      </c>
      <c r="E205" s="1" t="n">
        <v>46259</v>
      </c>
      <c r="F205" t="inlineStr">
        <is>
          <t>SKÅNE LÄN</t>
        </is>
      </c>
      <c r="G205" t="inlineStr">
        <is>
          <t>HÖRBY</t>
        </is>
      </c>
      <c r="I205" t="n">
        <v>9.4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5374-2026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46050</v>
      </c>
      <c r="E206" s="1" t="n">
        <v>46259</v>
      </c>
      <c r="F206" t="inlineStr">
        <is>
          <t>SKÅNE LÄN</t>
        </is>
      </c>
      <c r="G206" t="inlineStr">
        <is>
          <t>HÖRBY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20047-2026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46136</v>
      </c>
      <c r="E207" s="1" t="n">
        <v>46259</v>
      </c>
      <c r="F207" t="inlineStr">
        <is>
          <t>SKÅNE LÄN</t>
        </is>
      </c>
      <c r="G207" t="inlineStr">
        <is>
          <t>HÖRBY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57017-2025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45978</v>
      </c>
      <c r="E208" s="1" t="n">
        <v>46259</v>
      </c>
      <c r="F208" t="inlineStr">
        <is>
          <t>SKÅNE LÄN</t>
        </is>
      </c>
      <c r="G208" t="inlineStr">
        <is>
          <t>HÖRBY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52310-2023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45224</v>
      </c>
      <c r="E209" s="1" t="n">
        <v>46259</v>
      </c>
      <c r="F209" t="inlineStr">
        <is>
          <t>SKÅNE LÄN</t>
        </is>
      </c>
      <c r="G209" t="inlineStr">
        <is>
          <t>HÖRBY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30934-2026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46213</v>
      </c>
      <c r="E210" s="1" t="n">
        <v>46259</v>
      </c>
      <c r="F210" t="inlineStr">
        <is>
          <t>SKÅNE LÄN</t>
        </is>
      </c>
      <c r="G210" t="inlineStr">
        <is>
          <t>HÖRBY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46259</v>
      </c>
      <c r="F211" t="inlineStr">
        <is>
          <t>SKÅNE LÄN</t>
        </is>
      </c>
      <c r="G211" t="inlineStr">
        <is>
          <t>HÖRBY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34737-2026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46258</v>
      </c>
      <c r="E212" s="1" t="n">
        <v>46259</v>
      </c>
      <c r="F212" t="inlineStr">
        <is>
          <t>SKÅNE LÄN</t>
        </is>
      </c>
      <c r="G212" t="inlineStr">
        <is>
          <t>HÖRBY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34740-2026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46258</v>
      </c>
      <c r="E213" s="1" t="n">
        <v>46259</v>
      </c>
      <c r="F213" t="inlineStr">
        <is>
          <t>SKÅNE LÄN</t>
        </is>
      </c>
      <c r="G213" t="inlineStr">
        <is>
          <t>HÖRBY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8310-2026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46064</v>
      </c>
      <c r="E214" s="1" t="n">
        <v>46259</v>
      </c>
      <c r="F214" t="inlineStr">
        <is>
          <t>SKÅNE LÄN</t>
        </is>
      </c>
      <c r="G214" t="inlineStr">
        <is>
          <t>HÖRBY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16665-2025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46259</v>
      </c>
      <c r="F215" t="inlineStr">
        <is>
          <t>SKÅNE LÄN</t>
        </is>
      </c>
      <c r="G215" t="inlineStr">
        <is>
          <t>HÖRBY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8260-2026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46064</v>
      </c>
      <c r="E216" s="1" t="n">
        <v>46259</v>
      </c>
      <c r="F216" t="inlineStr">
        <is>
          <t>SKÅNE LÄN</t>
        </is>
      </c>
      <c r="G216" t="inlineStr">
        <is>
          <t>HÖRBY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8259-2026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46259</v>
      </c>
      <c r="F217" t="inlineStr">
        <is>
          <t>SKÅNE LÄN</t>
        </is>
      </c>
      <c r="G217" t="inlineStr">
        <is>
          <t>HÖRBY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46078</v>
      </c>
      <c r="E218" s="1" t="n">
        <v>46259</v>
      </c>
      <c r="F218" t="inlineStr">
        <is>
          <t>SKÅNE LÄN</t>
        </is>
      </c>
      <c r="G218" t="inlineStr">
        <is>
          <t>HÖRBY</t>
        </is>
      </c>
      <c r="H218" t="inlineStr">
        <is>
          <t>Kyrkan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46259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46259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46259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46259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220-2026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46051</v>
      </c>
      <c r="E223" s="1" t="n">
        <v>46259</v>
      </c>
      <c r="F223" t="inlineStr">
        <is>
          <t>SKÅNE LÄN</t>
        </is>
      </c>
      <c r="G223" t="inlineStr">
        <is>
          <t>HÖRBY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1874-2026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46259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7.8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1875-2026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46259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1873-2026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46202</v>
      </c>
      <c r="E226" s="1" t="n">
        <v>46259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2026-08-25T01:53:09Z</dcterms:created>
  <dcterms:modified xmlns:dcterms="http://purl.org/dc/terms/" xmlns:xsi="http://www.w3.org/2001/XMLSchema-instance" xsi:type="dcterms:W3CDTF">2026-08-25T01:53:09Z</dcterms:modified>
</cp:coreProperties>
</file>