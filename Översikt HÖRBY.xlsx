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6056-2023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44964</v>
      </c>
      <c r="E2" s="1" t="n">
        <v>46311</v>
      </c>
      <c r="F2" t="inlineStr">
        <is>
          <t>SKÅNE LÄN</t>
        </is>
      </c>
      <c r="G2" t="inlineStr">
        <is>
          <t>HÖRBY</t>
        </is>
      </c>
      <c r="I2" t="n">
        <v>0.1</v>
      </c>
      <c r="J2" t="n">
        <v>0</v>
      </c>
      <c r="K2" t="n">
        <v>8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11</v>
      </c>
      <c r="T2" t="n">
        <v>19</v>
      </c>
      <c r="U2" t="n">
        <v>18</v>
      </c>
      <c r="V2" s="2" t="inlineStr">
        <is>
          <t>Bokkantlav
Bokvårtlav
Lunglav
Bokfjädermossa
Guldlockmossa
Havstulpanlav
Klippfrullania
Kransrams
Lönnlav
Trädporella
Västlig hakmossa</t>
        </is>
      </c>
      <c r="W2">
        <f>HYPERLINK("https://klasma.github.io/Logging_1266/artfynd/A 6056-2023 artfynd.xlsx", "A 6056-2023")</f>
        <v/>
      </c>
      <c r="X2">
        <f>HYPERLINK("https://klasma.github.io/Logging_1266/kartor/A 6056-2023 karta.png", "A 6056-2023")</f>
        <v/>
      </c>
      <c r="Y2">
        <f>HYPERLINK("https://klasma.github.io/Logging_1266/kartor_geotiff/A 6056-2023 georefererad karta.tif", "A 6056-2023")</f>
        <v/>
      </c>
      <c r="AA2">
        <f>HYPERLINK("https://klasma.github.io/Logging_1266/klagomål/A 6056-2023 FSC-klagomål.docx", "A 6056-2023")</f>
        <v/>
      </c>
      <c r="AB2">
        <f>HYPERLINK("https://klasma.github.io/Logging_1266/klagomålsmail/A 6056-2023 FSC-klagomål mail.docx", "A 6056-2023")</f>
        <v/>
      </c>
      <c r="AC2">
        <f>HYPERLINK("https://klasma.github.io/Logging_1266/tillsyn/A 6056-2023 tillsynsbegäran.docx", "A 6056-2023")</f>
        <v/>
      </c>
      <c r="AD2">
        <f>HYPERLINK("https://klasma.github.io/Logging_1266/tillsynsmail/A 6056-2023 tillsynsbegäran mail.docx", "A 6056-2023")</f>
        <v/>
      </c>
    </row>
    <row r="3" ht="15" customHeight="1">
      <c r="A3" t="inlineStr">
        <is>
          <t>S 534-2023</t>
        </is>
      </c>
      <c r="B3" t="inlineStr">
        <is>
          <t>samrådsanmälan</t>
        </is>
      </c>
      <c r="C3" t="inlineStr">
        <is>
          <t>Askåterföring</t>
        </is>
      </c>
      <c r="D3" s="1" t="n">
        <v>44967</v>
      </c>
      <c r="E3" s="1" t="n">
        <v>46311</v>
      </c>
      <c r="F3" t="inlineStr">
        <is>
          <t>SKÅNE LÄN</t>
        </is>
      </c>
      <c r="G3" t="inlineStr">
        <is>
          <t>HÖRBY</t>
        </is>
      </c>
      <c r="I3" t="n">
        <v>173.2</v>
      </c>
      <c r="J3" t="n">
        <v>2</v>
      </c>
      <c r="K3" t="n">
        <v>3</v>
      </c>
      <c r="L3" t="n">
        <v>5</v>
      </c>
      <c r="M3" t="n">
        <v>0</v>
      </c>
      <c r="N3" t="n">
        <v>2</v>
      </c>
      <c r="O3" t="n">
        <v>0</v>
      </c>
      <c r="P3" t="n">
        <v>0</v>
      </c>
      <c r="Q3" t="n">
        <v>7</v>
      </c>
      <c r="R3" t="n">
        <v>2</v>
      </c>
      <c r="S3" t="n">
        <v>11</v>
      </c>
      <c r="T3" t="n">
        <v>17</v>
      </c>
      <c r="U3" t="n">
        <v>8</v>
      </c>
      <c r="V3" s="2" t="inlineStr">
        <is>
          <t>Ask
Skogsalm
Atheta fungivora
Dvärgbägarlav
Grönsångare
Svart skogssnigel
Sårläka
Liten stinksvamp
Skogsbräsma
Västlig hakmossa
Kopparödla</t>
        </is>
      </c>
      <c r="W3">
        <f>HYPERLINK("https://klasma.github.io/Logging_1266/artfynd/S 534-2023 artfynd.xlsx", "S 534-2023")</f>
        <v/>
      </c>
      <c r="X3">
        <f>HYPERLINK("https://klasma.github.io/Logging_1266/kartor/S 534-2023 karta.png", "S 534-2023")</f>
        <v/>
      </c>
      <c r="Y3">
        <f>HYPERLINK("https://klasma.github.io/Logging_1266/kartor_geotiff/S 534-2023 georefererad karta.tif", "S 534-2023")</f>
        <v/>
      </c>
      <c r="AA3">
        <f>HYPERLINK("https://klasma.github.io/Logging_1266/klagomål/S 534-2023 FSC-klagomål.docx", "S 534-2023")</f>
        <v/>
      </c>
      <c r="AB3">
        <f>HYPERLINK("https://klasma.github.io/Logging_1266/klagomålsmail/S 534-2023 FSC-klagomål mail.docx", "S 534-2023")</f>
        <v/>
      </c>
      <c r="AC3">
        <f>HYPERLINK("https://klasma.github.io/Logging_1266/tillsyn/S 534-2023 tillsynsbegäran.docx", "S 534-2023")</f>
        <v/>
      </c>
      <c r="AD3">
        <f>HYPERLINK("https://klasma.github.io/Logging_1266/tillsynsmail/S 534-2023 tillsynsbegäran mail.docx", "S 534-2023")</f>
        <v/>
      </c>
      <c r="AE3">
        <f>HYPERLINK("https://klasma.github.io/Logging_1266/fåglar/S 534-2023 prioriterade fågelarter.docx", "S 534-2023")</f>
        <v/>
      </c>
    </row>
    <row r="4" ht="15" customHeight="1">
      <c r="A4" t="inlineStr">
        <is>
          <t>A 24647-2022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44727</v>
      </c>
      <c r="E4" s="1" t="n">
        <v>46311</v>
      </c>
      <c r="F4" t="inlineStr">
        <is>
          <t>SKÅNE LÄN</t>
        </is>
      </c>
      <c r="G4" t="inlineStr">
        <is>
          <t>HÖRBY</t>
        </is>
      </c>
      <c r="I4" t="n">
        <v>0.9</v>
      </c>
      <c r="J4" t="n">
        <v>10</v>
      </c>
      <c r="K4" t="n">
        <v>0</v>
      </c>
      <c r="L4" t="n">
        <v>3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n">
        <v>1</v>
      </c>
      <c r="S4" t="n">
        <v>10</v>
      </c>
      <c r="T4" t="n">
        <v>16</v>
      </c>
      <c r="U4" t="n">
        <v>6</v>
      </c>
      <c r="V4" s="2" t="inlineStr">
        <is>
          <t>Sydpipistrell
Dammfladdermus
Nordfladdermus
Sydfladdermus
Dvärgpipistrell
Gråskimlig fladdermus
Mindre brunfladdermus
Större brunfladdermus
Trollpipistrell
Vattenfladdermus</t>
        </is>
      </c>
      <c r="W4">
        <f>HYPERLINK("https://klasma.github.io/Logging_1266/artfynd/A 24647-2022 artfynd.xlsx", "A 24647-2022")</f>
        <v/>
      </c>
      <c r="X4">
        <f>HYPERLINK("https://klasma.github.io/Logging_1266/kartor/A 24647-2022 karta.png", "A 24647-2022")</f>
        <v/>
      </c>
      <c r="Y4">
        <f>HYPERLINK("https://klasma.github.io/Logging_1266/kartor_geotiff/A 24647-2022 georefererad karta.tif", "A 24647-2022")</f>
        <v/>
      </c>
      <c r="AA4">
        <f>HYPERLINK("https://klasma.github.io/Logging_1266/klagomål/A 24647-2022 FSC-klagomål.docx", "A 24647-2022")</f>
        <v/>
      </c>
      <c r="AB4">
        <f>HYPERLINK("https://klasma.github.io/Logging_1266/klagomålsmail/A 24647-2022 FSC-klagomål mail.docx", "A 24647-2022")</f>
        <v/>
      </c>
      <c r="AC4">
        <f>HYPERLINK("https://klasma.github.io/Logging_1266/tillsyn/A 24647-2022 tillsynsbegäran.docx", "A 24647-2022")</f>
        <v/>
      </c>
      <c r="AD4">
        <f>HYPERLINK("https://klasma.github.io/Logging_1266/tillsynsmail/A 24647-2022 tillsynsbegäran mail.docx", "A 24647-2022")</f>
        <v/>
      </c>
    </row>
    <row r="5" ht="15" customHeight="1">
      <c r="A5" t="inlineStr">
        <is>
          <t>S 1478-2025</t>
        </is>
      </c>
      <c r="B5" t="inlineStr">
        <is>
          <t>samrådsanmälan</t>
        </is>
      </c>
      <c r="C5" t="inlineStr">
        <is>
          <t>Askåterföring</t>
        </is>
      </c>
      <c r="D5" s="1" t="n">
        <v>45786</v>
      </c>
      <c r="E5" s="1" t="n">
        <v>46311</v>
      </c>
      <c r="F5" t="inlineStr">
        <is>
          <t>SKÅNE LÄN</t>
        </is>
      </c>
      <c r="G5" t="inlineStr">
        <is>
          <t>HÖRBY</t>
        </is>
      </c>
      <c r="I5" t="n">
        <v>153.7</v>
      </c>
      <c r="J5" t="n">
        <v>1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8</v>
      </c>
      <c r="T5" t="n">
        <v>8</v>
      </c>
      <c r="U5" t="n">
        <v>7</v>
      </c>
      <c r="V5" s="2" t="inlineStr">
        <is>
          <t>Borsttåg
Mörk dunört
Blåbär
Skogsstjärna
Stjärnstarr
Sälg
Ängskovall
Kopparödla</t>
        </is>
      </c>
      <c r="W5">
        <f>HYPERLINK("https://klasma.github.io/Logging_1266/artfynd/S 1478-2025 artfynd.xlsx", "S 1478-2025")</f>
        <v/>
      </c>
      <c r="X5">
        <f>HYPERLINK("https://klasma.github.io/Logging_1266/kartor/S 1478-2025 karta.png", "S 1478-2025")</f>
        <v/>
      </c>
      <c r="Y5">
        <f>HYPERLINK("https://klasma.github.io/Logging_1266/kartor_geotiff/S 1478-2025 georefererad karta.tif", "S 1478-2025")</f>
        <v/>
      </c>
      <c r="AA5">
        <f>HYPERLINK("https://klasma.github.io/Logging_1266/klagomål/S 1478-2025 FSC-klagomål.docx", "S 1478-2025")</f>
        <v/>
      </c>
      <c r="AB5">
        <f>HYPERLINK("https://klasma.github.io/Logging_1266/klagomålsmail/S 1478-2025 FSC-klagomål mail.docx", "S 1478-2025")</f>
        <v/>
      </c>
      <c r="AC5">
        <f>HYPERLINK("https://klasma.github.io/Logging_1266/tillsyn/S 1478-2025 tillsynsbegäran.docx", "S 1478-2025")</f>
        <v/>
      </c>
      <c r="AD5">
        <f>HYPERLINK("https://klasma.github.io/Logging_1266/tillsynsmail/S 1478-2025 tillsynsbegäran mail.docx", "S 1478-2025")</f>
        <v/>
      </c>
    </row>
    <row r="6" ht="15" customHeight="1">
      <c r="A6" t="inlineStr">
        <is>
          <t>S 1447-2026</t>
        </is>
      </c>
      <c r="B6" t="inlineStr">
        <is>
          <t>samrådsanmälan</t>
        </is>
      </c>
      <c r="C6" t="inlineStr">
        <is>
          <t>Askåterföring</t>
        </is>
      </c>
      <c r="D6" s="1" t="n">
        <v>46160</v>
      </c>
      <c r="E6" s="1" t="n">
        <v>46311</v>
      </c>
      <c r="F6" t="inlineStr">
        <is>
          <t>SKÅNE LÄN</t>
        </is>
      </c>
      <c r="G6" t="inlineStr">
        <is>
          <t>HÖRBY</t>
        </is>
      </c>
      <c r="I6" t="n">
        <v>13.1</v>
      </c>
      <c r="J6" t="n">
        <v>6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8</v>
      </c>
      <c r="T6" t="n">
        <v>8</v>
      </c>
      <c r="U6" t="n">
        <v>5</v>
      </c>
      <c r="V6" s="2" t="inlineStr">
        <is>
          <t>Grönsångare
Gulsparv
Mindre hackspett
Gulplister
Liljekonvalj
Spillkråka
Kråka
Svartvit flugsnappare</t>
        </is>
      </c>
      <c r="W6">
        <f>HYPERLINK("https://klasma.github.io/Logging_1266/artfynd/S 1447-2026 artfynd.xlsx", "S 1447-2026")</f>
        <v/>
      </c>
      <c r="X6">
        <f>HYPERLINK("https://klasma.github.io/Logging_1266/kartor/S 1447-2026 karta.png", "S 1447-2026")</f>
        <v/>
      </c>
      <c r="Y6">
        <f>HYPERLINK("https://klasma.github.io/Logging_1266/kartor_geotiff/S 1447-2026 georefererad karta.tif", "S 1447-2026")</f>
        <v/>
      </c>
      <c r="AA6">
        <f>HYPERLINK("https://klasma.github.io/Logging_1266/klagomål/S 1447-2026 FSC-klagomål.docx", "S 1447-2026")</f>
        <v/>
      </c>
      <c r="AB6">
        <f>HYPERLINK("https://klasma.github.io/Logging_1266/klagomålsmail/S 1447-2026 FSC-klagomål mail.docx", "S 1447-2026")</f>
        <v/>
      </c>
      <c r="AC6">
        <f>HYPERLINK("https://klasma.github.io/Logging_1266/tillsyn/S 1447-2026 tillsynsbegäran.docx", "S 1447-2026")</f>
        <v/>
      </c>
      <c r="AD6">
        <f>HYPERLINK("https://klasma.github.io/Logging_1266/tillsynsmail/S 1447-2026 tillsynsbegäran mail.docx", "S 1447-2026")</f>
        <v/>
      </c>
      <c r="AE6">
        <f>HYPERLINK("https://klasma.github.io/Logging_1266/fåglar/S 1447-2026 prioriterade fågelarter.docx", "S 1447-2026")</f>
        <v/>
      </c>
    </row>
    <row r="7" ht="15" customHeight="1">
      <c r="A7" t="inlineStr">
        <is>
          <t>A 56742-2023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45238</v>
      </c>
      <c r="E7" s="1" t="n">
        <v>46311</v>
      </c>
      <c r="F7" t="inlineStr">
        <is>
          <t>SKÅNE LÄN</t>
        </is>
      </c>
      <c r="G7" t="inlineStr">
        <is>
          <t>HÖRBY</t>
        </is>
      </c>
      <c r="I7" t="n">
        <v>8.699999999999999</v>
      </c>
      <c r="J7" t="n">
        <v>6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7</v>
      </c>
      <c r="T7" t="n">
        <v>9</v>
      </c>
      <c r="U7" t="n">
        <v>0</v>
      </c>
      <c r="V7" s="2" t="inlineStr">
        <is>
          <t>Mindre hackspett
Scharlakansskål
Spillkråka
Kråka
Näktergal
Skogsödla
Grönvit nattviol</t>
        </is>
      </c>
      <c r="W7">
        <f>HYPERLINK("https://klasma.github.io/Logging_1266/artfynd/A 56742-2023 artfynd.xlsx", "A 56742-2023")</f>
        <v/>
      </c>
      <c r="X7">
        <f>HYPERLINK("https://klasma.github.io/Logging_1266/kartor/A 56742-2023 karta.png", "A 56742-2023")</f>
        <v/>
      </c>
      <c r="Y7">
        <f>HYPERLINK("https://klasma.github.io/Logging_1266/kartor_geotiff/A 56742-2023 georefererad karta.tif", "A 56742-2023")</f>
        <v/>
      </c>
      <c r="AA7">
        <f>HYPERLINK("https://klasma.github.io/Logging_1266/klagomål/A 56742-2023 FSC-klagomål.docx", "A 56742-2023")</f>
        <v/>
      </c>
      <c r="AB7">
        <f>HYPERLINK("https://klasma.github.io/Logging_1266/klagomålsmail/A 56742-2023 FSC-klagomål mail.docx", "A 56742-2023")</f>
        <v/>
      </c>
      <c r="AC7">
        <f>HYPERLINK("https://klasma.github.io/Logging_1266/tillsyn/A 56742-2023 tillsynsbegäran.docx", "A 56742-2023")</f>
        <v/>
      </c>
      <c r="AD7">
        <f>HYPERLINK("https://klasma.github.io/Logging_1266/tillsynsmail/A 56742-2023 tillsynsbegäran mail.docx", "A 56742-2023")</f>
        <v/>
      </c>
      <c r="AE7">
        <f>HYPERLINK("https://klasma.github.io/Logging_1266/fåglar/A 56742-2023 prioriterade fågelarter.docx", "A 56742-2023")</f>
        <v/>
      </c>
    </row>
    <row r="8" ht="15" customHeight="1">
      <c r="A8" t="inlineStr">
        <is>
          <t>A 20194-2024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45434</v>
      </c>
      <c r="E8" s="1" t="n">
        <v>46311</v>
      </c>
      <c r="F8" t="inlineStr">
        <is>
          <t>SKÅNE LÄN</t>
        </is>
      </c>
      <c r="G8" t="inlineStr">
        <is>
          <t>HÖRBY</t>
        </is>
      </c>
      <c r="I8" t="n">
        <v>4.4</v>
      </c>
      <c r="J8" t="n">
        <v>0</v>
      </c>
      <c r="K8" t="n">
        <v>2</v>
      </c>
      <c r="L8" t="n">
        <v>0</v>
      </c>
      <c r="M8" t="n">
        <v>0</v>
      </c>
      <c r="N8" t="n">
        <v>2</v>
      </c>
      <c r="O8" t="n">
        <v>1</v>
      </c>
      <c r="P8" t="n">
        <v>0</v>
      </c>
      <c r="Q8" t="n">
        <v>3</v>
      </c>
      <c r="R8" t="n">
        <v>3</v>
      </c>
      <c r="S8" t="n">
        <v>5</v>
      </c>
      <c r="T8" t="n">
        <v>5</v>
      </c>
      <c r="U8" t="n">
        <v>0</v>
      </c>
      <c r="V8" s="2" t="inlineStr">
        <is>
          <t>Naverlönn
Ask
Skogsalm
Scharlakansskål
Stor häxört</t>
        </is>
      </c>
      <c r="W8">
        <f>HYPERLINK("https://klasma.github.io/Logging_1266/artfynd/A 20194-2024 artfynd.xlsx", "A 20194-2024")</f>
        <v/>
      </c>
      <c r="X8">
        <f>HYPERLINK("https://klasma.github.io/Logging_1266/kartor/A 20194-2024 karta.png", "A 20194-2024")</f>
        <v/>
      </c>
      <c r="Y8">
        <f>HYPERLINK("https://klasma.github.io/Logging_1266/kartor_geotiff/A 20194-2024 georefererad karta.tif", "A 20194-2024")</f>
        <v/>
      </c>
      <c r="AA8">
        <f>HYPERLINK("https://klasma.github.io/Logging_1266/klagomål/A 20194-2024 FSC-klagomål.docx", "A 20194-2024")</f>
        <v/>
      </c>
      <c r="AB8">
        <f>HYPERLINK("https://klasma.github.io/Logging_1266/klagomålsmail/A 20194-2024 FSC-klagomål mail.docx", "A 20194-2024")</f>
        <v/>
      </c>
      <c r="AC8">
        <f>HYPERLINK("https://klasma.github.io/Logging_1266/tillsyn/A 20194-2024 tillsynsbegäran.docx", "A 20194-2024")</f>
        <v/>
      </c>
      <c r="AD8">
        <f>HYPERLINK("https://klasma.github.io/Logging_1266/tillsynsmail/A 20194-2024 tillsynsbegäran mail.docx", "A 20194-2024")</f>
        <v/>
      </c>
    </row>
    <row r="9" ht="15" customHeight="1">
      <c r="A9" t="inlineStr">
        <is>
          <t>A 31351-2022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44774</v>
      </c>
      <c r="E9" s="1" t="n">
        <v>46311</v>
      </c>
      <c r="F9" t="inlineStr">
        <is>
          <t>SKÅNE LÄN</t>
        </is>
      </c>
      <c r="G9" t="inlineStr">
        <is>
          <t>HÖRBY</t>
        </is>
      </c>
      <c r="I9" t="n">
        <v>13.2</v>
      </c>
      <c r="J9" t="n">
        <v>5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5</v>
      </c>
      <c r="T9" t="n">
        <v>5</v>
      </c>
      <c r="U9" t="n">
        <v>3</v>
      </c>
      <c r="V9" s="2" t="inlineStr">
        <is>
          <t>Duvhök
Grönsångare
Sädesärla
Fjällvråk
Kungsfågel</t>
        </is>
      </c>
      <c r="W9">
        <f>HYPERLINK("https://klasma.github.io/Logging_1266/artfynd/A 31351-2022 artfynd.xlsx", "A 31351-2022")</f>
        <v/>
      </c>
      <c r="X9">
        <f>HYPERLINK("https://klasma.github.io/Logging_1266/kartor/A 31351-2022 karta.png", "A 31351-2022")</f>
        <v/>
      </c>
      <c r="Y9">
        <f>HYPERLINK("https://klasma.github.io/Logging_1266/kartor_geotiff/A 31351-2022 georefererad karta.tif", "A 31351-2022")</f>
        <v/>
      </c>
      <c r="AA9">
        <f>HYPERLINK("https://klasma.github.io/Logging_1266/klagomål/A 31351-2022 FSC-klagomål.docx", "A 31351-2022")</f>
        <v/>
      </c>
      <c r="AB9">
        <f>HYPERLINK("https://klasma.github.io/Logging_1266/klagomålsmail/A 31351-2022 FSC-klagomål mail.docx", "A 31351-2022")</f>
        <v/>
      </c>
      <c r="AC9">
        <f>HYPERLINK("https://klasma.github.io/Logging_1266/tillsyn/A 31351-2022 tillsynsbegäran.docx", "A 31351-2022")</f>
        <v/>
      </c>
      <c r="AD9">
        <f>HYPERLINK("https://klasma.github.io/Logging_1266/tillsynsmail/A 31351-2022 tillsynsbegäran mail.docx", "A 31351-2022")</f>
        <v/>
      </c>
      <c r="AE9">
        <f>HYPERLINK("https://klasma.github.io/Logging_1266/fåglar/A 31351-2022 prioriterade fågelarter.docx", "A 31351-2022")</f>
        <v/>
      </c>
    </row>
    <row r="10" ht="15" customHeight="1">
      <c r="A10" t="inlineStr">
        <is>
          <t>A 16520-2026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46112</v>
      </c>
      <c r="E10" s="1" t="n">
        <v>46311</v>
      </c>
      <c r="F10" t="inlineStr">
        <is>
          <t>SKÅNE LÄN</t>
        </is>
      </c>
      <c r="G10" t="inlineStr">
        <is>
          <t>HÖRBY</t>
        </is>
      </c>
      <c r="I10" t="n">
        <v>2.3</v>
      </c>
      <c r="J10" t="n">
        <v>2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5</v>
      </c>
      <c r="T10" t="n">
        <v>6</v>
      </c>
      <c r="U10" t="n">
        <v>0</v>
      </c>
      <c r="V10" s="2" t="inlineStr">
        <is>
          <t>Slåttergubbe
Sydlig sotticka
Älg
Fiskgjuse
Större brunfladdermus</t>
        </is>
      </c>
      <c r="W10">
        <f>HYPERLINK("https://klasma.github.io/Logging_1266/artfynd/A 16520-2026 artfynd.xlsx", "A 16520-2026")</f>
        <v/>
      </c>
      <c r="X10">
        <f>HYPERLINK("https://klasma.github.io/Logging_1266/kartor/A 16520-2026 karta.png", "A 16520-2026")</f>
        <v/>
      </c>
      <c r="Y10">
        <f>HYPERLINK("https://klasma.github.io/Logging_1266/kartor_geotiff/A 16520-2026 georefererad karta.tif", "A 16520-2026")</f>
        <v/>
      </c>
      <c r="AA10">
        <f>HYPERLINK("https://klasma.github.io/Logging_1266/klagomål/A 16520-2026 FSC-klagomål.docx", "A 16520-2026")</f>
        <v/>
      </c>
      <c r="AB10">
        <f>HYPERLINK("https://klasma.github.io/Logging_1266/klagomålsmail/A 16520-2026 FSC-klagomål mail.docx", "A 16520-2026")</f>
        <v/>
      </c>
      <c r="AC10">
        <f>HYPERLINK("https://klasma.github.io/Logging_1266/tillsyn/A 16520-2026 tillsynsbegäran.docx", "A 16520-2026")</f>
        <v/>
      </c>
      <c r="AD10">
        <f>HYPERLINK("https://klasma.github.io/Logging_1266/tillsynsmail/A 16520-2026 tillsynsbegäran mail.docx", "A 16520-2026")</f>
        <v/>
      </c>
      <c r="AE10">
        <f>HYPERLINK("https://klasma.github.io/Logging_1266/fåglar/A 16520-2026 prioriterade fågelarter.docx", "A 16520-2026")</f>
        <v/>
      </c>
    </row>
    <row r="11" ht="15" customHeight="1">
      <c r="A11" t="inlineStr">
        <is>
          <t>A 39855-2022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44819</v>
      </c>
      <c r="E11" s="1" t="n">
        <v>46311</v>
      </c>
      <c r="F11" t="inlineStr">
        <is>
          <t>SKÅNE LÄN</t>
        </is>
      </c>
      <c r="G11" t="inlineStr">
        <is>
          <t>HÖRBY</t>
        </is>
      </c>
      <c r="I11" t="n">
        <v>4.2</v>
      </c>
      <c r="J11" t="n">
        <v>4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5</v>
      </c>
      <c r="T11" t="n">
        <v>5</v>
      </c>
      <c r="U11" t="n">
        <v>1</v>
      </c>
      <c r="V11" s="2" t="inlineStr">
        <is>
          <t>Ask
Skogsknipprot
Blåsippa
Fläcknycklar
Grönvit nattviol</t>
        </is>
      </c>
      <c r="W11">
        <f>HYPERLINK("https://klasma.github.io/Logging_1266/artfynd/A 39855-2022 artfynd.xlsx", "A 39855-2022")</f>
        <v/>
      </c>
      <c r="X11">
        <f>HYPERLINK("https://klasma.github.io/Logging_1266/kartor/A 39855-2022 karta.png", "A 39855-2022")</f>
        <v/>
      </c>
      <c r="Y11">
        <f>HYPERLINK("https://klasma.github.io/Logging_1266/kartor_geotiff/A 39855-2022 georefererad karta.tif", "A 39855-2022")</f>
        <v/>
      </c>
      <c r="AA11">
        <f>HYPERLINK("https://klasma.github.io/Logging_1266/klagomål/A 39855-2022 FSC-klagomål.docx", "A 39855-2022")</f>
        <v/>
      </c>
      <c r="AB11">
        <f>HYPERLINK("https://klasma.github.io/Logging_1266/klagomålsmail/A 39855-2022 FSC-klagomål mail.docx", "A 39855-2022")</f>
        <v/>
      </c>
      <c r="AC11">
        <f>HYPERLINK("https://klasma.github.io/Logging_1266/tillsyn/A 39855-2022 tillsynsbegäran.docx", "A 39855-2022")</f>
        <v/>
      </c>
      <c r="AD11">
        <f>HYPERLINK("https://klasma.github.io/Logging_1266/tillsynsmail/A 39855-2022 tillsynsbegäran mail.docx", "A 39855-2022")</f>
        <v/>
      </c>
    </row>
    <row r="12" ht="15" customHeight="1">
      <c r="A12" t="inlineStr">
        <is>
          <t>A 21774-2026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46150</v>
      </c>
      <c r="E12" s="1" t="n">
        <v>46311</v>
      </c>
      <c r="F12" t="inlineStr">
        <is>
          <t>SKÅNE LÄN</t>
        </is>
      </c>
      <c r="G12" t="inlineStr">
        <is>
          <t>HÖRBY</t>
        </is>
      </c>
      <c r="I12" t="n">
        <v>1.2</v>
      </c>
      <c r="J12" t="n">
        <v>0</v>
      </c>
      <c r="K12" t="n">
        <v>0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4</v>
      </c>
      <c r="R12" t="n">
        <v>1</v>
      </c>
      <c r="S12" t="n">
        <v>4</v>
      </c>
      <c r="T12" t="n">
        <v>6</v>
      </c>
      <c r="U12" t="n">
        <v>0</v>
      </c>
      <c r="V12" s="2" t="inlineStr">
        <is>
          <t>Violettkantad guldvinge
Granspira
Sotnätfjäril
Svinrot</t>
        </is>
      </c>
      <c r="W12">
        <f>HYPERLINK("https://klasma.github.io/Logging_1266/artfynd/A 21774-2026 artfynd.xlsx", "A 21774-2026")</f>
        <v/>
      </c>
      <c r="X12">
        <f>HYPERLINK("https://klasma.github.io/Logging_1266/kartor/A 21774-2026 karta.png", "A 21774-2026")</f>
        <v/>
      </c>
      <c r="Y12">
        <f>HYPERLINK("https://klasma.github.io/Logging_1266/kartor_geotiff/A 21774-2026 georefererad karta.tif", "A 21774-2026")</f>
        <v/>
      </c>
      <c r="AA12">
        <f>HYPERLINK("https://klasma.github.io/Logging_1266/klagomål/A 21774-2026 FSC-klagomål.docx", "A 21774-2026")</f>
        <v/>
      </c>
      <c r="AB12">
        <f>HYPERLINK("https://klasma.github.io/Logging_1266/klagomålsmail/A 21774-2026 FSC-klagomål mail.docx", "A 21774-2026")</f>
        <v/>
      </c>
      <c r="AC12">
        <f>HYPERLINK("https://klasma.github.io/Logging_1266/tillsyn/A 21774-2026 tillsynsbegäran.docx", "A 21774-2026")</f>
        <v/>
      </c>
      <c r="AD12">
        <f>HYPERLINK("https://klasma.github.io/Logging_1266/tillsynsmail/A 21774-2026 tillsynsbegäran mail.docx", "A 21774-2026")</f>
        <v/>
      </c>
    </row>
    <row r="13" ht="15" customHeight="1">
      <c r="A13" t="inlineStr">
        <is>
          <t>A 38084-2024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45545</v>
      </c>
      <c r="E13" s="1" t="n">
        <v>46311</v>
      </c>
      <c r="F13" t="inlineStr">
        <is>
          <t>SKÅNE LÄN</t>
        </is>
      </c>
      <c r="G13" t="inlineStr">
        <is>
          <t>HÖRBY</t>
        </is>
      </c>
      <c r="I13" t="n">
        <v>0.5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4</v>
      </c>
      <c r="U13" t="n">
        <v>4</v>
      </c>
      <c r="V13" s="2" t="inlineStr">
        <is>
          <t>Myskmadra
Skogsbräsma
Tandrot
Grönsiska</t>
        </is>
      </c>
      <c r="W13">
        <f>HYPERLINK("https://klasma.github.io/Logging_1266/artfynd/A 38084-2024 artfynd.xlsx", "A 38084-2024")</f>
        <v/>
      </c>
      <c r="X13">
        <f>HYPERLINK("https://klasma.github.io/Logging_1266/kartor/A 38084-2024 karta.png", "A 38084-2024")</f>
        <v/>
      </c>
      <c r="Y13">
        <f>HYPERLINK("https://klasma.github.io/Logging_1266/kartor_geotiff/A 38084-2024 georefererad karta.tif", "A 38084-2024")</f>
        <v/>
      </c>
      <c r="AA13">
        <f>HYPERLINK("https://klasma.github.io/Logging_1266/klagomål/A 38084-2024 FSC-klagomål.docx", "A 38084-2024")</f>
        <v/>
      </c>
      <c r="AB13">
        <f>HYPERLINK("https://klasma.github.io/Logging_1266/klagomålsmail/A 38084-2024 FSC-klagomål mail.docx", "A 38084-2024")</f>
        <v/>
      </c>
      <c r="AC13">
        <f>HYPERLINK("https://klasma.github.io/Logging_1266/tillsyn/A 38084-2024 tillsynsbegäran.docx", "A 38084-2024")</f>
        <v/>
      </c>
      <c r="AD13">
        <f>HYPERLINK("https://klasma.github.io/Logging_1266/tillsynsmail/A 38084-2024 tillsynsbegäran mail.docx", "A 38084-2024")</f>
        <v/>
      </c>
    </row>
    <row r="14" ht="15" customHeight="1">
      <c r="A14" t="inlineStr">
        <is>
          <t>A 5619-2024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45334</v>
      </c>
      <c r="E14" s="1" t="n">
        <v>46311</v>
      </c>
      <c r="F14" t="inlineStr">
        <is>
          <t>SKÅNE LÄN</t>
        </is>
      </c>
      <c r="G14" t="inlineStr">
        <is>
          <t>HÖRBY</t>
        </is>
      </c>
      <c r="I14" t="n">
        <v>4.6</v>
      </c>
      <c r="J14" t="n">
        <v>0</v>
      </c>
      <c r="K14" t="n">
        <v>1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3</v>
      </c>
      <c r="R14" t="n">
        <v>2</v>
      </c>
      <c r="S14" t="n">
        <v>4</v>
      </c>
      <c r="T14" t="n">
        <v>7</v>
      </c>
      <c r="U14" t="n">
        <v>0</v>
      </c>
      <c r="V14" s="2" t="inlineStr">
        <is>
          <t>Ask
Skogsalm
Gullpudra
Trubbfjädermossa</t>
        </is>
      </c>
      <c r="W14">
        <f>HYPERLINK("https://klasma.github.io/Logging_1266/artfynd/A 5619-2024 artfynd.xlsx", "A 5619-2024")</f>
        <v/>
      </c>
      <c r="X14">
        <f>HYPERLINK("https://klasma.github.io/Logging_1266/kartor/A 5619-2024 karta.png", "A 5619-2024")</f>
        <v/>
      </c>
      <c r="Y14">
        <f>HYPERLINK("https://klasma.github.io/Logging_1266/kartor_geotiff/A 5619-2024 georefererad karta.tif", "A 5619-2024")</f>
        <v/>
      </c>
      <c r="AA14">
        <f>HYPERLINK("https://klasma.github.io/Logging_1266/klagomål/A 5619-2024 FSC-klagomål.docx", "A 5619-2024")</f>
        <v/>
      </c>
      <c r="AB14">
        <f>HYPERLINK("https://klasma.github.io/Logging_1266/klagomålsmail/A 5619-2024 FSC-klagomål mail.docx", "A 5619-2024")</f>
        <v/>
      </c>
      <c r="AC14">
        <f>HYPERLINK("https://klasma.github.io/Logging_1266/tillsyn/A 5619-2024 tillsynsbegäran.docx", "A 5619-2024")</f>
        <v/>
      </c>
      <c r="AD14">
        <f>HYPERLINK("https://klasma.github.io/Logging_1266/tillsynsmail/A 5619-2024 tillsynsbegäran mail.docx", "A 5619-2024")</f>
        <v/>
      </c>
    </row>
    <row r="15" ht="15" customHeight="1">
      <c r="A15" t="inlineStr">
        <is>
          <t>A 20193-2024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45434</v>
      </c>
      <c r="E15" s="1" t="n">
        <v>46311</v>
      </c>
      <c r="F15" t="inlineStr">
        <is>
          <t>SKÅNE LÄN</t>
        </is>
      </c>
      <c r="G15" t="inlineStr">
        <is>
          <t>HÖRBY</t>
        </is>
      </c>
      <c r="I15" t="n">
        <v>11.2</v>
      </c>
      <c r="J15" t="n">
        <v>0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3</v>
      </c>
      <c r="U15" t="n">
        <v>1</v>
      </c>
      <c r="V15" s="2" t="inlineStr">
        <is>
          <t>Vårärt
Strutbräken
Vätteros</t>
        </is>
      </c>
      <c r="W15">
        <f>HYPERLINK("https://klasma.github.io/Logging_1266/artfynd/A 20193-2024 artfynd.xlsx", "A 20193-2024")</f>
        <v/>
      </c>
      <c r="X15">
        <f>HYPERLINK("https://klasma.github.io/Logging_1266/kartor/A 20193-2024 karta.png", "A 20193-2024")</f>
        <v/>
      </c>
      <c r="Y15">
        <f>HYPERLINK("https://klasma.github.io/Logging_1266/kartor_geotiff/A 20193-2024 georefererad karta.tif", "A 20193-2024")</f>
        <v/>
      </c>
      <c r="AA15">
        <f>HYPERLINK("https://klasma.github.io/Logging_1266/klagomål/A 20193-2024 FSC-klagomål.docx", "A 20193-2024")</f>
        <v/>
      </c>
      <c r="AB15">
        <f>HYPERLINK("https://klasma.github.io/Logging_1266/klagomålsmail/A 20193-2024 FSC-klagomål mail.docx", "A 20193-2024")</f>
        <v/>
      </c>
      <c r="AC15">
        <f>HYPERLINK("https://klasma.github.io/Logging_1266/tillsyn/A 20193-2024 tillsynsbegäran.docx", "A 20193-2024")</f>
        <v/>
      </c>
      <c r="AD15">
        <f>HYPERLINK("https://klasma.github.io/Logging_1266/tillsynsmail/A 20193-2024 tillsynsbegäran mail.docx", "A 20193-2024")</f>
        <v/>
      </c>
    </row>
    <row r="16" ht="15" customHeight="1">
      <c r="A16" t="inlineStr">
        <is>
          <t>A 2823-2025</t>
        </is>
      </c>
      <c r="B16" t="inlineStr">
        <is>
          <t>avverkningsanmälan</t>
        </is>
      </c>
      <c r="C16" t="inlineStr">
        <is>
          <t>Avverkning för annat ändamål</t>
        </is>
      </c>
      <c r="D16" s="1" t="n">
        <v>45677</v>
      </c>
      <c r="E16" s="1" t="n">
        <v>46311</v>
      </c>
      <c r="F16" t="inlineStr">
        <is>
          <t>SKÅNE LÄN</t>
        </is>
      </c>
      <c r="G16" t="inlineStr">
        <is>
          <t>HÖRBY</t>
        </is>
      </c>
      <c r="I16" t="n">
        <v>21.1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3</v>
      </c>
      <c r="T16" t="n">
        <v>4</v>
      </c>
      <c r="U16" t="n">
        <v>0</v>
      </c>
      <c r="V16" s="2" t="inlineStr">
        <is>
          <t>Borsttåg
Grönvit nattviol
Revlummer</t>
        </is>
      </c>
      <c r="W16">
        <f>HYPERLINK("https://klasma.github.io/Logging_1266/artfynd/A 2823-2025 artfynd.xlsx", "A 2823-2025")</f>
        <v/>
      </c>
      <c r="X16">
        <f>HYPERLINK("https://klasma.github.io/Logging_1266/kartor/A 2823-2025 karta.png", "A 2823-2025")</f>
        <v/>
      </c>
      <c r="Y16">
        <f>HYPERLINK("https://klasma.github.io/Logging_1266/kartor_geotiff/A 2823-2025 georefererad karta.tif", "A 2823-2025")</f>
        <v/>
      </c>
      <c r="AA16">
        <f>HYPERLINK("https://klasma.github.io/Logging_1266/klagomål/A 2823-2025 FSC-klagomål.docx", "A 2823-2025")</f>
        <v/>
      </c>
      <c r="AB16">
        <f>HYPERLINK("https://klasma.github.io/Logging_1266/klagomålsmail/A 2823-2025 FSC-klagomål mail.docx", "A 2823-2025")</f>
        <v/>
      </c>
      <c r="AC16">
        <f>HYPERLINK("https://klasma.github.io/Logging_1266/tillsyn/A 2823-2025 tillsynsbegäran.docx", "A 2823-2025")</f>
        <v/>
      </c>
      <c r="AD16">
        <f>HYPERLINK("https://klasma.github.io/Logging_1266/tillsynsmail/A 2823-2025 tillsynsbegäran mail.docx", "A 2823-2025")</f>
        <v/>
      </c>
    </row>
    <row r="17" ht="15" customHeight="1">
      <c r="A17" t="inlineStr">
        <is>
          <t>A 24158-2022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44725</v>
      </c>
      <c r="E17" s="1" t="n">
        <v>46311</v>
      </c>
      <c r="F17" t="inlineStr">
        <is>
          <t>SKÅNE LÄN</t>
        </is>
      </c>
      <c r="G17" t="inlineStr">
        <is>
          <t>HÖRBY</t>
        </is>
      </c>
      <c r="I17" t="n">
        <v>3.1</v>
      </c>
      <c r="J17" t="n">
        <v>0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3</v>
      </c>
      <c r="T17" t="n">
        <v>5</v>
      </c>
      <c r="U17" t="n">
        <v>3</v>
      </c>
      <c r="V17" s="2" t="inlineStr">
        <is>
          <t>Slåttergubbe
Borsttåg
Sotnätfjäril</t>
        </is>
      </c>
      <c r="W17">
        <f>HYPERLINK("https://klasma.github.io/Logging_1266/artfynd/A 24158-2022 artfynd.xlsx", "A 24158-2022")</f>
        <v/>
      </c>
      <c r="X17">
        <f>HYPERLINK("https://klasma.github.io/Logging_1266/kartor/A 24158-2022 karta.png", "A 24158-2022")</f>
        <v/>
      </c>
      <c r="Y17">
        <f>HYPERLINK("https://klasma.github.io/Logging_1266/kartor_geotiff/A 24158-2022 georefererad karta.tif", "A 24158-2022")</f>
        <v/>
      </c>
      <c r="AA17">
        <f>HYPERLINK("https://klasma.github.io/Logging_1266/klagomål/A 24158-2022 FSC-klagomål.docx", "A 24158-2022")</f>
        <v/>
      </c>
      <c r="AB17">
        <f>HYPERLINK("https://klasma.github.io/Logging_1266/klagomålsmail/A 24158-2022 FSC-klagomål mail.docx", "A 24158-2022")</f>
        <v/>
      </c>
      <c r="AC17">
        <f>HYPERLINK("https://klasma.github.io/Logging_1266/tillsyn/A 24158-2022 tillsynsbegäran.docx", "A 24158-2022")</f>
        <v/>
      </c>
      <c r="AD17">
        <f>HYPERLINK("https://klasma.github.io/Logging_1266/tillsynsmail/A 24158-2022 tillsynsbegäran mail.docx", "A 24158-2022")</f>
        <v/>
      </c>
    </row>
    <row r="18" ht="15" customHeight="1">
      <c r="A18" t="inlineStr">
        <is>
          <t>A 27738-2025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45815</v>
      </c>
      <c r="E18" s="1" t="n">
        <v>46311</v>
      </c>
      <c r="F18" t="inlineStr">
        <is>
          <t>SKÅNE LÄN</t>
        </is>
      </c>
      <c r="G18" t="inlineStr">
        <is>
          <t>HÖRBY</t>
        </is>
      </c>
      <c r="I18" t="n">
        <v>2.5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3</v>
      </c>
      <c r="U18" t="n">
        <v>0</v>
      </c>
      <c r="V18" s="2" t="inlineStr">
        <is>
          <t>Bokvårtlav
Sydlig sotticka
Västlig hakmossa</t>
        </is>
      </c>
      <c r="W18">
        <f>HYPERLINK("https://klasma.github.io/Logging_1266/artfynd/A 27738-2025 artfynd.xlsx", "A 27738-2025")</f>
        <v/>
      </c>
      <c r="X18">
        <f>HYPERLINK("https://klasma.github.io/Logging_1266/kartor/A 27738-2025 karta.png", "A 27738-2025")</f>
        <v/>
      </c>
      <c r="Y18">
        <f>HYPERLINK("https://klasma.github.io/Logging_1266/kartor_geotiff/A 27738-2025 georefererad karta.tif", "A 27738-2025")</f>
        <v/>
      </c>
      <c r="AA18">
        <f>HYPERLINK("https://klasma.github.io/Logging_1266/klagomål/A 27738-2025 FSC-klagomål.docx", "A 27738-2025")</f>
        <v/>
      </c>
      <c r="AB18">
        <f>HYPERLINK("https://klasma.github.io/Logging_1266/klagomålsmail/A 27738-2025 FSC-klagomål mail.docx", "A 27738-2025")</f>
        <v/>
      </c>
      <c r="AC18">
        <f>HYPERLINK("https://klasma.github.io/Logging_1266/tillsyn/A 27738-2025 tillsynsbegäran.docx", "A 27738-2025")</f>
        <v/>
      </c>
      <c r="AD18">
        <f>HYPERLINK("https://klasma.github.io/Logging_1266/tillsynsmail/A 27738-2025 tillsynsbegäran mail.docx", "A 27738-2025")</f>
        <v/>
      </c>
    </row>
    <row r="19" ht="15" customHeight="1">
      <c r="A19" t="inlineStr">
        <is>
          <t>A 24801-2025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45799</v>
      </c>
      <c r="E19" s="1" t="n">
        <v>46311</v>
      </c>
      <c r="F19" t="inlineStr">
        <is>
          <t>SKÅNE LÄN</t>
        </is>
      </c>
      <c r="G19" t="inlineStr">
        <is>
          <t>HÖRBY</t>
        </is>
      </c>
      <c r="I19" t="n">
        <v>4.2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</v>
      </c>
      <c r="R19" t="n">
        <v>2</v>
      </c>
      <c r="S19" t="n">
        <v>3</v>
      </c>
      <c r="T19" t="n">
        <v>5</v>
      </c>
      <c r="U19" t="n">
        <v>1</v>
      </c>
      <c r="V19" s="2" t="inlineStr">
        <is>
          <t>Ask
Småvänderot
Platt fjädermossa</t>
        </is>
      </c>
      <c r="W19">
        <f>HYPERLINK("https://klasma.github.io/Logging_1266/artfynd/A 24801-2025 artfynd.xlsx", "A 24801-2025")</f>
        <v/>
      </c>
      <c r="X19">
        <f>HYPERLINK("https://klasma.github.io/Logging_1266/kartor/A 24801-2025 karta.png", "A 24801-2025")</f>
        <v/>
      </c>
      <c r="Y19">
        <f>HYPERLINK("https://klasma.github.io/Logging_1266/kartor_geotiff/A 24801-2025 georefererad karta.tif", "A 24801-2025")</f>
        <v/>
      </c>
      <c r="AA19">
        <f>HYPERLINK("https://klasma.github.io/Logging_1266/klagomål/A 24801-2025 FSC-klagomål.docx", "A 24801-2025")</f>
        <v/>
      </c>
      <c r="AB19">
        <f>HYPERLINK("https://klasma.github.io/Logging_1266/klagomålsmail/A 24801-2025 FSC-klagomål mail.docx", "A 24801-2025")</f>
        <v/>
      </c>
      <c r="AC19">
        <f>HYPERLINK("https://klasma.github.io/Logging_1266/tillsyn/A 24801-2025 tillsynsbegäran.docx", "A 24801-2025")</f>
        <v/>
      </c>
      <c r="AD19">
        <f>HYPERLINK("https://klasma.github.io/Logging_1266/tillsynsmail/A 24801-2025 tillsynsbegäran mail.docx", "A 24801-2025")</f>
        <v/>
      </c>
    </row>
    <row r="20" ht="15" customHeight="1">
      <c r="A20" t="inlineStr">
        <is>
          <t>A 44135-2024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45572</v>
      </c>
      <c r="E20" s="1" t="n">
        <v>46311</v>
      </c>
      <c r="F20" t="inlineStr">
        <is>
          <t>SKÅNE LÄN</t>
        </is>
      </c>
      <c r="G20" t="inlineStr">
        <is>
          <t>HÖRBY</t>
        </is>
      </c>
      <c r="I20" t="n">
        <v>0.6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2</v>
      </c>
      <c r="U20" t="n">
        <v>0</v>
      </c>
      <c r="V20" s="2" t="inlineStr">
        <is>
          <t>Ladusvala
Vanlig padda</t>
        </is>
      </c>
      <c r="W20">
        <f>HYPERLINK("https://klasma.github.io/Logging_1266/artfynd/A 44135-2024 artfynd.xlsx", "A 44135-2024")</f>
        <v/>
      </c>
      <c r="X20">
        <f>HYPERLINK("https://klasma.github.io/Logging_1266/kartor/A 44135-2024 karta.png", "A 44135-2024")</f>
        <v/>
      </c>
      <c r="Y20">
        <f>HYPERLINK("https://klasma.github.io/Logging_1266/kartor_geotiff/A 44135-2024 georefererad karta.tif", "A 44135-2024")</f>
        <v/>
      </c>
      <c r="AA20">
        <f>HYPERLINK("https://klasma.github.io/Logging_1266/klagomål/A 44135-2024 FSC-klagomål.docx", "A 44135-2024")</f>
        <v/>
      </c>
      <c r="AB20">
        <f>HYPERLINK("https://klasma.github.io/Logging_1266/klagomålsmail/A 44135-2024 FSC-klagomål mail.docx", "A 44135-2024")</f>
        <v/>
      </c>
      <c r="AC20">
        <f>HYPERLINK("https://klasma.github.io/Logging_1266/tillsyn/A 44135-2024 tillsynsbegäran.docx", "A 44135-2024")</f>
        <v/>
      </c>
      <c r="AD20">
        <f>HYPERLINK("https://klasma.github.io/Logging_1266/tillsynsmail/A 44135-2024 tillsynsbegäran mail.docx", "A 44135-2024")</f>
        <v/>
      </c>
    </row>
    <row r="21" ht="15" customHeight="1">
      <c r="A21" t="inlineStr">
        <is>
          <t>A 42724-2023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45176</v>
      </c>
      <c r="E21" s="1" t="n">
        <v>46311</v>
      </c>
      <c r="F21" t="inlineStr">
        <is>
          <t>SKÅNE LÄN</t>
        </is>
      </c>
      <c r="G21" t="inlineStr">
        <is>
          <t>HÖRBY</t>
        </is>
      </c>
      <c r="I21" t="n">
        <v>2.8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2</v>
      </c>
      <c r="T21" t="n">
        <v>4</v>
      </c>
      <c r="U21" t="n">
        <v>0</v>
      </c>
      <c r="V21" s="2" t="inlineStr">
        <is>
          <t>Ask
Grönvit nattviol</t>
        </is>
      </c>
      <c r="W21">
        <f>HYPERLINK("https://klasma.github.io/Logging_1266/artfynd/A 42724-2023 artfynd.xlsx", "A 42724-2023")</f>
        <v/>
      </c>
      <c r="X21">
        <f>HYPERLINK("https://klasma.github.io/Logging_1266/kartor/A 42724-2023 karta.png", "A 42724-2023")</f>
        <v/>
      </c>
      <c r="Y21">
        <f>HYPERLINK("https://klasma.github.io/Logging_1266/kartor_geotiff/A 42724-2023 georefererad karta.tif", "A 42724-2023")</f>
        <v/>
      </c>
      <c r="AA21">
        <f>HYPERLINK("https://klasma.github.io/Logging_1266/klagomål/A 42724-2023 FSC-klagomål.docx", "A 42724-2023")</f>
        <v/>
      </c>
      <c r="AB21">
        <f>HYPERLINK("https://klasma.github.io/Logging_1266/klagomålsmail/A 42724-2023 FSC-klagomål mail.docx", "A 42724-2023")</f>
        <v/>
      </c>
      <c r="AC21">
        <f>HYPERLINK("https://klasma.github.io/Logging_1266/tillsyn/A 42724-2023 tillsynsbegäran.docx", "A 42724-2023")</f>
        <v/>
      </c>
      <c r="AD21">
        <f>HYPERLINK("https://klasma.github.io/Logging_1266/tillsynsmail/A 42724-2023 tillsynsbegäran mail.docx", "A 42724-2023")</f>
        <v/>
      </c>
    </row>
    <row r="22" ht="15" customHeight="1">
      <c r="A22" t="inlineStr">
        <is>
          <t>A 824-2026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46030</v>
      </c>
      <c r="E22" s="1" t="n">
        <v>46311</v>
      </c>
      <c r="F22" t="inlineStr">
        <is>
          <t>SKÅNE LÄN</t>
        </is>
      </c>
      <c r="G22" t="inlineStr">
        <is>
          <t>HÖRBY</t>
        </is>
      </c>
      <c r="H22" t="inlineStr">
        <is>
          <t>Sveaskog</t>
        </is>
      </c>
      <c r="I22" t="n">
        <v>3.1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2</v>
      </c>
      <c r="T22" t="n">
        <v>3</v>
      </c>
      <c r="U22" t="n">
        <v>0</v>
      </c>
      <c r="V22" s="2" t="inlineStr">
        <is>
          <t>Hedblomster
Skogslysing</t>
        </is>
      </c>
      <c r="W22">
        <f>HYPERLINK("https://klasma.github.io/Logging_1266/artfynd/A 824-2026 artfynd.xlsx", "A 824-2026")</f>
        <v/>
      </c>
      <c r="X22">
        <f>HYPERLINK("https://klasma.github.io/Logging_1266/kartor/A 824-2026 karta.png", "A 824-2026")</f>
        <v/>
      </c>
      <c r="Y22">
        <f>HYPERLINK("https://klasma.github.io/Logging_1266/kartor_geotiff/A 824-2026 georefererad karta.tif", "A 824-2026")</f>
        <v/>
      </c>
      <c r="AA22">
        <f>HYPERLINK("https://klasma.github.io/Logging_1266/klagomål/A 824-2026 FSC-klagomål.docx", "A 824-2026")</f>
        <v/>
      </c>
      <c r="AB22">
        <f>HYPERLINK("https://klasma.github.io/Logging_1266/klagomålsmail/A 824-2026 FSC-klagomål mail.docx", "A 824-2026")</f>
        <v/>
      </c>
      <c r="AC22">
        <f>HYPERLINK("https://klasma.github.io/Logging_1266/tillsyn/A 824-2026 tillsynsbegäran.docx", "A 824-2026")</f>
        <v/>
      </c>
      <c r="AD22">
        <f>HYPERLINK("https://klasma.github.io/Logging_1266/tillsynsmail/A 824-2026 tillsynsbegäran mail.docx", "A 824-2026")</f>
        <v/>
      </c>
    </row>
    <row r="23" ht="15" customHeight="1">
      <c r="A23" t="inlineStr">
        <is>
          <t>S 230-2024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45317</v>
      </c>
      <c r="E23" s="1" t="n">
        <v>46311</v>
      </c>
      <c r="F23" t="inlineStr">
        <is>
          <t>SKÅNE LÄN</t>
        </is>
      </c>
      <c r="G23" t="inlineStr">
        <is>
          <t>HÖRBY</t>
        </is>
      </c>
      <c r="I23" t="n">
        <v>4.9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1</v>
      </c>
      <c r="V23" s="2" t="inlineStr">
        <is>
          <t>Grönsiska
Kungsfågel</t>
        </is>
      </c>
      <c r="W23">
        <f>HYPERLINK("https://klasma.github.io/Logging_1266/artfynd/S 230-2024 artfynd.xlsx", "S 230-2024")</f>
        <v/>
      </c>
      <c r="X23">
        <f>HYPERLINK("https://klasma.github.io/Logging_1266/kartor/S 230-2024 karta.png", "S 230-2024")</f>
        <v/>
      </c>
      <c r="Y23">
        <f>HYPERLINK("https://klasma.github.io/Logging_1266/kartor_geotiff/S 230-2024 georefererad karta.tif", "S 230-2024")</f>
        <v/>
      </c>
      <c r="AA23">
        <f>HYPERLINK("https://klasma.github.io/Logging_1266/klagomål/S 230-2024 FSC-klagomål.docx", "S 230-2024")</f>
        <v/>
      </c>
      <c r="AB23">
        <f>HYPERLINK("https://klasma.github.io/Logging_1266/klagomålsmail/S 230-2024 FSC-klagomål mail.docx", "S 230-2024")</f>
        <v/>
      </c>
      <c r="AC23">
        <f>HYPERLINK("https://klasma.github.io/Logging_1266/tillsyn/S 230-2024 tillsynsbegäran.docx", "S 230-2024")</f>
        <v/>
      </c>
      <c r="AD23">
        <f>HYPERLINK("https://klasma.github.io/Logging_1266/tillsynsmail/S 230-2024 tillsynsbegäran mail.docx", "S 230-2024")</f>
        <v/>
      </c>
    </row>
    <row r="24" ht="15" customHeight="1">
      <c r="A24" t="inlineStr">
        <is>
          <t>A 25479-2025</t>
        </is>
      </c>
      <c r="B24" t="inlineStr">
        <is>
          <t>avverkningsanmälan</t>
        </is>
      </c>
      <c r="C24" t="inlineStr">
        <is>
          <t>Avverkning för annat ändamål</t>
        </is>
      </c>
      <c r="D24" s="1" t="n">
        <v>45802</v>
      </c>
      <c r="E24" s="1" t="n">
        <v>46311</v>
      </c>
      <c r="F24" t="inlineStr">
        <is>
          <t>SKÅNE LÄN</t>
        </is>
      </c>
      <c r="G24" t="inlineStr">
        <is>
          <t>HÖRBY</t>
        </is>
      </c>
      <c r="I24" t="n">
        <v>0.7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Lundvårlök</t>
        </is>
      </c>
      <c r="W24">
        <f>HYPERLINK("https://klasma.github.io/Logging_1266/artfynd/A 25479-2025 artfynd.xlsx", "A 25479-2025")</f>
        <v/>
      </c>
      <c r="X24">
        <f>HYPERLINK("https://klasma.github.io/Logging_1266/kartor/A 25479-2025 karta.png", "A 25479-2025")</f>
        <v/>
      </c>
      <c r="Y24">
        <f>HYPERLINK("https://klasma.github.io/Logging_1266/kartor_geotiff/A 25479-2025 georefererad karta.tif", "A 25479-2025")</f>
        <v/>
      </c>
      <c r="AA24">
        <f>HYPERLINK("https://klasma.github.io/Logging_1266/klagomål/A 25479-2025 FSC-klagomål.docx", "A 25479-2025")</f>
        <v/>
      </c>
      <c r="AB24">
        <f>HYPERLINK("https://klasma.github.io/Logging_1266/klagomålsmail/A 25479-2025 FSC-klagomål mail.docx", "A 25479-2025")</f>
        <v/>
      </c>
      <c r="AC24">
        <f>HYPERLINK("https://klasma.github.io/Logging_1266/tillsyn/A 25479-2025 tillsynsbegäran.docx", "A 25479-2025")</f>
        <v/>
      </c>
      <c r="AD24">
        <f>HYPERLINK("https://klasma.github.io/Logging_1266/tillsynsmail/A 25479-2025 tillsynsbegäran mail.docx", "A 25479-2025")</f>
        <v/>
      </c>
    </row>
    <row r="25" ht="15" customHeight="1">
      <c r="A25" t="inlineStr">
        <is>
          <t>A 113-2023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44928</v>
      </c>
      <c r="E25" s="1" t="n">
        <v>46311</v>
      </c>
      <c r="F25" t="inlineStr">
        <is>
          <t>SKÅNE LÄN</t>
        </is>
      </c>
      <c r="G25" t="inlineStr">
        <is>
          <t>HÖRBY</t>
        </is>
      </c>
      <c r="I25" t="n">
        <v>5.1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s="2" t="inlineStr">
        <is>
          <t>Slåttergubbe</t>
        </is>
      </c>
      <c r="W25">
        <f>HYPERLINK("https://klasma.github.io/Logging_1266/artfynd/A 113-2023 artfynd.xlsx", "A 113-2023")</f>
        <v/>
      </c>
      <c r="X25">
        <f>HYPERLINK("https://klasma.github.io/Logging_1266/kartor/A 113-2023 karta.png", "A 113-2023")</f>
        <v/>
      </c>
      <c r="Y25">
        <f>HYPERLINK("https://klasma.github.io/Logging_1266/kartor_geotiff/A 113-2023 georefererad karta.tif", "A 113-2023")</f>
        <v/>
      </c>
      <c r="AA25">
        <f>HYPERLINK("https://klasma.github.io/Logging_1266/klagomål/A 113-2023 FSC-klagomål.docx", "A 113-2023")</f>
        <v/>
      </c>
      <c r="AB25">
        <f>HYPERLINK("https://klasma.github.io/Logging_1266/klagomålsmail/A 113-2023 FSC-klagomål mail.docx", "A 113-2023")</f>
        <v/>
      </c>
      <c r="AC25">
        <f>HYPERLINK("https://klasma.github.io/Logging_1266/tillsyn/A 113-2023 tillsynsbegäran.docx", "A 113-2023")</f>
        <v/>
      </c>
      <c r="AD25">
        <f>HYPERLINK("https://klasma.github.io/Logging_1266/tillsynsmail/A 113-2023 tillsynsbegäran mail.docx", "A 113-2023")</f>
        <v/>
      </c>
    </row>
    <row r="26" ht="15" customHeight="1">
      <c r="A26" t="inlineStr">
        <is>
          <t>A 36362-2025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45868</v>
      </c>
      <c r="E26" s="1" t="n">
        <v>46311</v>
      </c>
      <c r="F26" t="inlineStr">
        <is>
          <t>SKÅNE LÄN</t>
        </is>
      </c>
      <c r="G26" t="inlineStr">
        <is>
          <t>HÖRBY</t>
        </is>
      </c>
      <c r="I26" t="n">
        <v>3.7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Blomkålssvamp</t>
        </is>
      </c>
      <c r="W26">
        <f>HYPERLINK("https://klasma.github.io/Logging_1266/artfynd/A 36362-2025 artfynd.xlsx", "A 36362-2025")</f>
        <v/>
      </c>
      <c r="X26">
        <f>HYPERLINK("https://klasma.github.io/Logging_1266/kartor/A 36362-2025 karta.png", "A 36362-2025")</f>
        <v/>
      </c>
      <c r="Y26">
        <f>HYPERLINK("https://klasma.github.io/Logging_1266/kartor_geotiff/A 36362-2025 georefererad karta.tif", "A 36362-2025")</f>
        <v/>
      </c>
      <c r="AA26">
        <f>HYPERLINK("https://klasma.github.io/Logging_1266/klagomål/A 36362-2025 FSC-klagomål.docx", "A 36362-2025")</f>
        <v/>
      </c>
      <c r="AB26">
        <f>HYPERLINK("https://klasma.github.io/Logging_1266/klagomålsmail/A 36362-2025 FSC-klagomål mail.docx", "A 36362-2025")</f>
        <v/>
      </c>
      <c r="AC26">
        <f>HYPERLINK("https://klasma.github.io/Logging_1266/tillsyn/A 36362-2025 tillsynsbegäran.docx", "A 36362-2025")</f>
        <v/>
      </c>
      <c r="AD26">
        <f>HYPERLINK("https://klasma.github.io/Logging_1266/tillsynsmail/A 36362-2025 tillsynsbegäran mail.docx", "A 36362-2025")</f>
        <v/>
      </c>
    </row>
    <row r="27" ht="15" customHeight="1">
      <c r="A27" t="inlineStr">
        <is>
          <t>A 25833-2024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45463</v>
      </c>
      <c r="E27" s="1" t="n">
        <v>46311</v>
      </c>
      <c r="F27" t="inlineStr">
        <is>
          <t>SKÅNE LÄN</t>
        </is>
      </c>
      <c r="G27" t="inlineStr">
        <is>
          <t>HÖRBY</t>
        </is>
      </c>
      <c r="I27" t="n">
        <v>1.4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2</v>
      </c>
      <c r="U27" t="n">
        <v>0</v>
      </c>
      <c r="V27" s="2" t="inlineStr">
        <is>
          <t>Slåttergubbe</t>
        </is>
      </c>
      <c r="W27">
        <f>HYPERLINK("https://klasma.github.io/Logging_1266/artfynd/A 25833-2024 artfynd.xlsx", "A 25833-2024")</f>
        <v/>
      </c>
      <c r="X27">
        <f>HYPERLINK("https://klasma.github.io/Logging_1266/kartor/A 25833-2024 karta.png", "A 25833-2024")</f>
        <v/>
      </c>
      <c r="Y27">
        <f>HYPERLINK("https://klasma.github.io/Logging_1266/kartor_geotiff/A 25833-2024 georefererad karta.tif", "A 25833-2024")</f>
        <v/>
      </c>
      <c r="AA27">
        <f>HYPERLINK("https://klasma.github.io/Logging_1266/klagomål/A 25833-2024 FSC-klagomål.docx", "A 25833-2024")</f>
        <v/>
      </c>
      <c r="AB27">
        <f>HYPERLINK("https://klasma.github.io/Logging_1266/klagomålsmail/A 25833-2024 FSC-klagomål mail.docx", "A 25833-2024")</f>
        <v/>
      </c>
      <c r="AC27">
        <f>HYPERLINK("https://klasma.github.io/Logging_1266/tillsyn/A 25833-2024 tillsynsbegäran.docx", "A 25833-2024")</f>
        <v/>
      </c>
      <c r="AD27">
        <f>HYPERLINK("https://klasma.github.io/Logging_1266/tillsynsmail/A 25833-2024 tillsynsbegäran mail.docx", "A 25833-2024")</f>
        <v/>
      </c>
    </row>
    <row r="28" ht="15" customHeight="1">
      <c r="A28" t="inlineStr">
        <is>
          <t>A 47612-2023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45203</v>
      </c>
      <c r="E28" s="1" t="n">
        <v>46311</v>
      </c>
      <c r="F28" t="inlineStr">
        <is>
          <t>SKÅNE LÄN</t>
        </is>
      </c>
      <c r="G28" t="inlineStr">
        <is>
          <t>HÖRBY</t>
        </is>
      </c>
      <c r="I28" t="n">
        <v>2.4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s="2" t="inlineStr">
        <is>
          <t>Ask</t>
        </is>
      </c>
      <c r="W28">
        <f>HYPERLINK("https://klasma.github.io/Logging_1266/artfynd/A 47612-2023 artfynd.xlsx", "A 47612-2023")</f>
        <v/>
      </c>
      <c r="X28">
        <f>HYPERLINK("https://klasma.github.io/Logging_1266/kartor/A 47612-2023 karta.png", "A 47612-2023")</f>
        <v/>
      </c>
      <c r="Y28">
        <f>HYPERLINK("https://klasma.github.io/Logging_1266/kartor_geotiff/A 47612-2023 georefererad karta.tif", "A 47612-2023")</f>
        <v/>
      </c>
      <c r="AA28">
        <f>HYPERLINK("https://klasma.github.io/Logging_1266/klagomål/A 47612-2023 FSC-klagomål.docx", "A 47612-2023")</f>
        <v/>
      </c>
      <c r="AB28">
        <f>HYPERLINK("https://klasma.github.io/Logging_1266/klagomålsmail/A 47612-2023 FSC-klagomål mail.docx", "A 47612-2023")</f>
        <v/>
      </c>
      <c r="AC28">
        <f>HYPERLINK("https://klasma.github.io/Logging_1266/tillsyn/A 47612-2023 tillsynsbegäran.docx", "A 47612-2023")</f>
        <v/>
      </c>
      <c r="AD28">
        <f>HYPERLINK("https://klasma.github.io/Logging_1266/tillsynsmail/A 47612-2023 tillsynsbegäran mail.docx", "A 47612-2023")</f>
        <v/>
      </c>
    </row>
    <row r="29" ht="15" customHeight="1">
      <c r="A29" t="inlineStr">
        <is>
          <t>A 40376-2023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45169</v>
      </c>
      <c r="E29" s="1" t="n">
        <v>46311</v>
      </c>
      <c r="F29" t="inlineStr">
        <is>
          <t>SKÅNE LÄN</t>
        </is>
      </c>
      <c r="G29" t="inlineStr">
        <is>
          <t>HÖRBY</t>
        </is>
      </c>
      <c r="I29" t="n">
        <v>2.7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Talltita</t>
        </is>
      </c>
      <c r="W29">
        <f>HYPERLINK("https://klasma.github.io/Logging_1266/artfynd/A 40376-2023 artfynd.xlsx", "A 40376-2023")</f>
        <v/>
      </c>
      <c r="X29">
        <f>HYPERLINK("https://klasma.github.io/Logging_1266/kartor/A 40376-2023 karta.png", "A 40376-2023")</f>
        <v/>
      </c>
      <c r="Y29">
        <f>HYPERLINK("https://klasma.github.io/Logging_1266/kartor_geotiff/A 40376-2023 georefererad karta.tif", "A 40376-2023")</f>
        <v/>
      </c>
      <c r="AA29">
        <f>HYPERLINK("https://klasma.github.io/Logging_1266/klagomål/A 40376-2023 FSC-klagomål.docx", "A 40376-2023")</f>
        <v/>
      </c>
      <c r="AB29">
        <f>HYPERLINK("https://klasma.github.io/Logging_1266/klagomålsmail/A 40376-2023 FSC-klagomål mail.docx", "A 40376-2023")</f>
        <v/>
      </c>
      <c r="AC29">
        <f>HYPERLINK("https://klasma.github.io/Logging_1266/tillsyn/A 40376-2023 tillsynsbegäran.docx", "A 40376-2023")</f>
        <v/>
      </c>
      <c r="AD29">
        <f>HYPERLINK("https://klasma.github.io/Logging_1266/tillsynsmail/A 40376-2023 tillsynsbegäran mail.docx", "A 40376-2023")</f>
        <v/>
      </c>
      <c r="AE29">
        <f>HYPERLINK("https://klasma.github.io/Logging_1266/fåglar/A 40376-2023 prioriterade fågelarter.docx", "A 40376-2023")</f>
        <v/>
      </c>
    </row>
    <row r="30" ht="15" customHeight="1">
      <c r="A30" t="inlineStr">
        <is>
          <t>A 31115-2024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45502</v>
      </c>
      <c r="E30" s="1" t="n">
        <v>46311</v>
      </c>
      <c r="F30" t="inlineStr">
        <is>
          <t>SKÅNE LÄN</t>
        </is>
      </c>
      <c r="G30" t="inlineStr">
        <is>
          <t>HÖRBY</t>
        </is>
      </c>
      <c r="I30" t="n">
        <v>0.8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Gullpudra</t>
        </is>
      </c>
      <c r="W30">
        <f>HYPERLINK("https://klasma.github.io/Logging_1266/artfynd/A 31115-2024 artfynd.xlsx", "A 31115-2024")</f>
        <v/>
      </c>
      <c r="X30">
        <f>HYPERLINK("https://klasma.github.io/Logging_1266/kartor/A 31115-2024 karta.png", "A 31115-2024")</f>
        <v/>
      </c>
      <c r="Y30">
        <f>HYPERLINK("https://klasma.github.io/Logging_1266/kartor_geotiff/A 31115-2024 georefererad karta.tif", "A 31115-2024")</f>
        <v/>
      </c>
      <c r="AA30">
        <f>HYPERLINK("https://klasma.github.io/Logging_1266/klagomål/A 31115-2024 FSC-klagomål.docx", "A 31115-2024")</f>
        <v/>
      </c>
      <c r="AB30">
        <f>HYPERLINK("https://klasma.github.io/Logging_1266/klagomålsmail/A 31115-2024 FSC-klagomål mail.docx", "A 31115-2024")</f>
        <v/>
      </c>
      <c r="AC30">
        <f>HYPERLINK("https://klasma.github.io/Logging_1266/tillsyn/A 31115-2024 tillsynsbegäran.docx", "A 31115-2024")</f>
        <v/>
      </c>
      <c r="AD30">
        <f>HYPERLINK("https://klasma.github.io/Logging_1266/tillsynsmail/A 31115-2024 tillsynsbegäran mail.docx", "A 31115-2024")</f>
        <v/>
      </c>
    </row>
    <row r="31" ht="15" customHeight="1">
      <c r="A31" t="inlineStr">
        <is>
          <t>A 24823-2026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46174</v>
      </c>
      <c r="E31" s="1" t="n">
        <v>46311</v>
      </c>
      <c r="F31" t="inlineStr">
        <is>
          <t>SKÅNE LÄN</t>
        </is>
      </c>
      <c r="G31" t="inlineStr">
        <is>
          <t>HÖRBY</t>
        </is>
      </c>
      <c r="H31" t="inlineStr">
        <is>
          <t>Sveaskog</t>
        </is>
      </c>
      <c r="I31" t="n">
        <v>5.1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Tandrot</t>
        </is>
      </c>
      <c r="W31">
        <f>HYPERLINK("https://klasma.github.io/Logging_1266/artfynd/A 24823-2026 artfynd.xlsx", "A 24823-2026")</f>
        <v/>
      </c>
      <c r="X31">
        <f>HYPERLINK("https://klasma.github.io/Logging_1266/kartor/A 24823-2026 karta.png", "A 24823-2026")</f>
        <v/>
      </c>
      <c r="Y31">
        <f>HYPERLINK("https://klasma.github.io/Logging_1266/kartor_geotiff/A 24823-2026 georefererad karta.tif", "A 24823-2026")</f>
        <v/>
      </c>
      <c r="AA31">
        <f>HYPERLINK("https://klasma.github.io/Logging_1266/klagomål/A 24823-2026 FSC-klagomål.docx", "A 24823-2026")</f>
        <v/>
      </c>
      <c r="AB31">
        <f>HYPERLINK("https://klasma.github.io/Logging_1266/klagomålsmail/A 24823-2026 FSC-klagomål mail.docx", "A 24823-2026")</f>
        <v/>
      </c>
      <c r="AC31">
        <f>HYPERLINK("https://klasma.github.io/Logging_1266/tillsyn/A 24823-2026 tillsynsbegäran.docx", "A 24823-2026")</f>
        <v/>
      </c>
      <c r="AD31">
        <f>HYPERLINK("https://klasma.github.io/Logging_1266/tillsynsmail/A 24823-2026 tillsynsbegäran mail.docx", "A 24823-2026")</f>
        <v/>
      </c>
    </row>
    <row r="32" ht="15" customHeight="1">
      <c r="A32" t="inlineStr">
        <is>
          <t>A 16519-2026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46112</v>
      </c>
      <c r="E32" s="1" t="n">
        <v>46311</v>
      </c>
      <c r="F32" t="inlineStr">
        <is>
          <t>SKÅNE LÄN</t>
        </is>
      </c>
      <c r="G32" t="inlineStr">
        <is>
          <t>HÖRBY</t>
        </is>
      </c>
      <c r="I32" t="n">
        <v>0.8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Ask</t>
        </is>
      </c>
      <c r="W32">
        <f>HYPERLINK("https://klasma.github.io/Logging_1266/artfynd/A 16519-2026 artfynd.xlsx", "A 16519-2026")</f>
        <v/>
      </c>
      <c r="X32">
        <f>HYPERLINK("https://klasma.github.io/Logging_1266/kartor/A 16519-2026 karta.png", "A 16519-2026")</f>
        <v/>
      </c>
      <c r="Y32">
        <f>HYPERLINK("https://klasma.github.io/Logging_1266/kartor_geotiff/A 16519-2026 georefererad karta.tif", "A 16519-2026")</f>
        <v/>
      </c>
      <c r="AA32">
        <f>HYPERLINK("https://klasma.github.io/Logging_1266/klagomål/A 16519-2026 FSC-klagomål.docx", "A 16519-2026")</f>
        <v/>
      </c>
      <c r="AB32">
        <f>HYPERLINK("https://klasma.github.io/Logging_1266/klagomålsmail/A 16519-2026 FSC-klagomål mail.docx", "A 16519-2026")</f>
        <v/>
      </c>
      <c r="AC32">
        <f>HYPERLINK("https://klasma.github.io/Logging_1266/tillsyn/A 16519-2026 tillsynsbegäran.docx", "A 16519-2026")</f>
        <v/>
      </c>
      <c r="AD32">
        <f>HYPERLINK("https://klasma.github.io/Logging_1266/tillsynsmail/A 16519-2026 tillsynsbegäran mail.docx", "A 16519-2026")</f>
        <v/>
      </c>
    </row>
    <row r="33" ht="15" customHeight="1">
      <c r="A33" t="inlineStr">
        <is>
          <t>A 31284-2026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46218</v>
      </c>
      <c r="E33" s="1" t="n">
        <v>46311</v>
      </c>
      <c r="F33" t="inlineStr">
        <is>
          <t>SKÅNE LÄN</t>
        </is>
      </c>
      <c r="G33" t="inlineStr">
        <is>
          <t>HÖRBY</t>
        </is>
      </c>
      <c r="I33" t="n">
        <v>6.8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Vanlig groda</t>
        </is>
      </c>
      <c r="W33">
        <f>HYPERLINK("https://klasma.github.io/Logging_1266/artfynd/A 31284-2026 artfynd.xlsx", "A 31284-2026")</f>
        <v/>
      </c>
      <c r="X33">
        <f>HYPERLINK("https://klasma.github.io/Logging_1266/kartor/A 31284-2026 karta.png", "A 31284-2026")</f>
        <v/>
      </c>
      <c r="Y33">
        <f>HYPERLINK("https://klasma.github.io/Logging_1266/kartor_geotiff/A 31284-2026 georefererad karta.tif", "A 31284-2026")</f>
        <v/>
      </c>
      <c r="AA33">
        <f>HYPERLINK("https://klasma.github.io/Logging_1266/klagomål/A 31284-2026 FSC-klagomål.docx", "A 31284-2026")</f>
        <v/>
      </c>
      <c r="AB33">
        <f>HYPERLINK("https://klasma.github.io/Logging_1266/klagomålsmail/A 31284-2026 FSC-klagomål mail.docx", "A 31284-2026")</f>
        <v/>
      </c>
      <c r="AC33">
        <f>HYPERLINK("https://klasma.github.io/Logging_1266/tillsyn/A 31284-2026 tillsynsbegäran.docx", "A 31284-2026")</f>
        <v/>
      </c>
      <c r="AD33">
        <f>HYPERLINK("https://klasma.github.io/Logging_1266/tillsynsmail/A 31284-2026 tillsynsbegäran mail.docx", "A 31284-2026")</f>
        <v/>
      </c>
    </row>
    <row r="34" ht="15" customHeight="1">
      <c r="A34" t="inlineStr">
        <is>
          <t>A 21713-2025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45783</v>
      </c>
      <c r="E34" s="1" t="n">
        <v>46311</v>
      </c>
      <c r="F34" t="inlineStr">
        <is>
          <t>SKÅNE LÄN</t>
        </is>
      </c>
      <c r="G34" t="inlineStr">
        <is>
          <t>HÖRBY</t>
        </is>
      </c>
      <c r="I34" t="n">
        <v>0.8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Gröngöling</t>
        </is>
      </c>
      <c r="W34">
        <f>HYPERLINK("https://klasma.github.io/Logging_1266/artfynd/A 21713-2025 artfynd.xlsx", "A 21713-2025")</f>
        <v/>
      </c>
      <c r="X34">
        <f>HYPERLINK("https://klasma.github.io/Logging_1266/kartor/A 21713-2025 karta.png", "A 21713-2025")</f>
        <v/>
      </c>
      <c r="Y34">
        <f>HYPERLINK("https://klasma.github.io/Logging_1266/kartor_geotiff/A 21713-2025 georefererad karta.tif", "A 21713-2025")</f>
        <v/>
      </c>
      <c r="AA34">
        <f>HYPERLINK("https://klasma.github.io/Logging_1266/klagomål/A 21713-2025 FSC-klagomål.docx", "A 21713-2025")</f>
        <v/>
      </c>
      <c r="AB34">
        <f>HYPERLINK("https://klasma.github.io/Logging_1266/klagomålsmail/A 21713-2025 FSC-klagomål mail.docx", "A 21713-2025")</f>
        <v/>
      </c>
      <c r="AC34">
        <f>HYPERLINK("https://klasma.github.io/Logging_1266/tillsyn/A 21713-2025 tillsynsbegäran.docx", "A 21713-2025")</f>
        <v/>
      </c>
      <c r="AD34">
        <f>HYPERLINK("https://klasma.github.io/Logging_1266/tillsynsmail/A 21713-2025 tillsynsbegäran mail.docx", "A 21713-2025")</f>
        <v/>
      </c>
    </row>
    <row r="35" ht="15" customHeight="1">
      <c r="A35" t="inlineStr">
        <is>
          <t>A 30165-2026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46206</v>
      </c>
      <c r="E35" s="1" t="n">
        <v>46311</v>
      </c>
      <c r="F35" t="inlineStr">
        <is>
          <t>SKÅNE LÄN</t>
        </is>
      </c>
      <c r="G35" t="inlineStr">
        <is>
          <t>HÖRBY</t>
        </is>
      </c>
      <c r="I35" t="n">
        <v>1.4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s="2" t="inlineStr">
        <is>
          <t>Ask</t>
        </is>
      </c>
      <c r="W35">
        <f>HYPERLINK("https://klasma.github.io/Logging_1266/artfynd/A 30165-2026 artfynd.xlsx", "A 30165-2026")</f>
        <v/>
      </c>
      <c r="X35">
        <f>HYPERLINK("https://klasma.github.io/Logging_1266/kartor/A 30165-2026 karta.png", "A 30165-2026")</f>
        <v/>
      </c>
      <c r="Y35">
        <f>HYPERLINK("https://klasma.github.io/Logging_1266/kartor_geotiff/A 30165-2026 georefererad karta.tif", "A 30165-2026")</f>
        <v/>
      </c>
      <c r="AA35">
        <f>HYPERLINK("https://klasma.github.io/Logging_1266/klagomål/A 30165-2026 FSC-klagomål.docx", "A 30165-2026")</f>
        <v/>
      </c>
      <c r="AB35">
        <f>HYPERLINK("https://klasma.github.io/Logging_1266/klagomålsmail/A 30165-2026 FSC-klagomål mail.docx", "A 30165-2026")</f>
        <v/>
      </c>
      <c r="AC35">
        <f>HYPERLINK("https://klasma.github.io/Logging_1266/tillsyn/A 30165-2026 tillsynsbegäran.docx", "A 30165-2026")</f>
        <v/>
      </c>
      <c r="AD35">
        <f>HYPERLINK("https://klasma.github.io/Logging_1266/tillsynsmail/A 30165-2026 tillsynsbegäran mail.docx", "A 30165-2026")</f>
        <v/>
      </c>
    </row>
    <row r="36" ht="15" customHeight="1">
      <c r="A36" t="inlineStr">
        <is>
          <t>A 29129-2026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46202</v>
      </c>
      <c r="E36" s="1" t="n">
        <v>46311</v>
      </c>
      <c r="F36" t="inlineStr">
        <is>
          <t>SKÅNE LÄN</t>
        </is>
      </c>
      <c r="G36" t="inlineStr">
        <is>
          <t>HÖRBY</t>
        </is>
      </c>
      <c r="H36" t="inlineStr">
        <is>
          <t>Sveaskog</t>
        </is>
      </c>
      <c r="I36" t="n">
        <v>10.5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Ekticka</t>
        </is>
      </c>
      <c r="W36">
        <f>HYPERLINK("https://klasma.github.io/Logging_1266/artfynd/A 29129-2026 artfynd.xlsx", "A 29129-2026")</f>
        <v/>
      </c>
      <c r="X36">
        <f>HYPERLINK("https://klasma.github.io/Logging_1266/kartor/A 29129-2026 karta.png", "A 29129-2026")</f>
        <v/>
      </c>
      <c r="Y36">
        <f>HYPERLINK("https://klasma.github.io/Logging_1266/kartor_geotiff/A 29129-2026 georefererad karta.tif", "A 29129-2026")</f>
        <v/>
      </c>
      <c r="AA36">
        <f>HYPERLINK("https://klasma.github.io/Logging_1266/klagomål/A 29129-2026 FSC-klagomål.docx", "A 29129-2026")</f>
        <v/>
      </c>
      <c r="AB36">
        <f>HYPERLINK("https://klasma.github.io/Logging_1266/klagomålsmail/A 29129-2026 FSC-klagomål mail.docx", "A 29129-2026")</f>
        <v/>
      </c>
      <c r="AC36">
        <f>HYPERLINK("https://klasma.github.io/Logging_1266/tillsyn/A 29129-2026 tillsynsbegäran.docx", "A 29129-2026")</f>
        <v/>
      </c>
      <c r="AD36">
        <f>HYPERLINK("https://klasma.github.io/Logging_1266/tillsynsmail/A 29129-2026 tillsynsbegäran mail.docx", "A 29129-2026")</f>
        <v/>
      </c>
    </row>
    <row r="37" ht="15" customHeight="1">
      <c r="A37" t="inlineStr">
        <is>
          <t>S 2020-2023</t>
        </is>
      </c>
      <c r="B37" t="inlineStr">
        <is>
          <t>samrådsanmälan</t>
        </is>
      </c>
      <c r="C37" t="inlineStr">
        <is>
          <t>Askåterföring</t>
        </is>
      </c>
      <c r="D37" s="1" t="n">
        <v>45089</v>
      </c>
      <c r="E37" s="1" t="n">
        <v>46311</v>
      </c>
      <c r="F37" t="inlineStr">
        <is>
          <t>SKÅNE LÄN</t>
        </is>
      </c>
      <c r="G37" t="inlineStr">
        <is>
          <t>HÖRBY</t>
        </is>
      </c>
      <c r="I37" t="n">
        <v>16.1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Kambräken</t>
        </is>
      </c>
      <c r="W37">
        <f>HYPERLINK("https://klasma.github.io/Logging_1266/artfynd/S 2020-2023 artfynd.xlsx", "S 2020-2023")</f>
        <v/>
      </c>
      <c r="X37">
        <f>HYPERLINK("https://klasma.github.io/Logging_1266/kartor/S 2020-2023 karta.png", "S 2020-2023")</f>
        <v/>
      </c>
      <c r="Y37">
        <f>HYPERLINK("https://klasma.github.io/Logging_1266/kartor_geotiff/S 2020-2023 georefererad karta.tif", "S 2020-2023")</f>
        <v/>
      </c>
      <c r="AA37">
        <f>HYPERLINK("https://klasma.github.io/Logging_1266/klagomål/S 2020-2023 FSC-klagomål.docx", "S 2020-2023")</f>
        <v/>
      </c>
      <c r="AB37">
        <f>HYPERLINK("https://klasma.github.io/Logging_1266/klagomålsmail/S 2020-2023 FSC-klagomål mail.docx", "S 2020-2023")</f>
        <v/>
      </c>
      <c r="AC37">
        <f>HYPERLINK("https://klasma.github.io/Logging_1266/tillsyn/S 2020-2023 tillsynsbegäran.docx", "S 2020-2023")</f>
        <v/>
      </c>
      <c r="AD37">
        <f>HYPERLINK("https://klasma.github.io/Logging_1266/tillsynsmail/S 2020-2023 tillsynsbegäran mail.docx", "S 2020-2023")</f>
        <v/>
      </c>
    </row>
    <row r="38" ht="15" customHeight="1">
      <c r="A38" t="inlineStr">
        <is>
          <t>S 913-2023</t>
        </is>
      </c>
      <c r="B38" t="inlineStr">
        <is>
          <t>samrådsanmälan</t>
        </is>
      </c>
      <c r="C38" t="inlineStr">
        <is>
          <t>Askåterföring</t>
        </is>
      </c>
      <c r="D38" s="1" t="n">
        <v>44999</v>
      </c>
      <c r="E38" s="1" t="n">
        <v>46311</v>
      </c>
      <c r="F38" t="inlineStr">
        <is>
          <t>SKÅNE LÄN</t>
        </is>
      </c>
      <c r="G38" t="inlineStr">
        <is>
          <t>HÖRBY</t>
        </is>
      </c>
      <c r="I38" t="n">
        <v>20.3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s="2" t="inlineStr">
        <is>
          <t>Kransrams</t>
        </is>
      </c>
      <c r="W38">
        <f>HYPERLINK("https://klasma.github.io/Logging_1266/artfynd/S 913-2023 artfynd.xlsx", "S 913-2023")</f>
        <v/>
      </c>
      <c r="X38">
        <f>HYPERLINK("https://klasma.github.io/Logging_1266/kartor/S 913-2023 karta.png", "S 913-2023")</f>
        <v/>
      </c>
      <c r="Y38">
        <f>HYPERLINK("https://klasma.github.io/Logging_1266/kartor_geotiff/S 913-2023 georefererad karta.tif", "S 913-2023")</f>
        <v/>
      </c>
      <c r="AA38">
        <f>HYPERLINK("https://klasma.github.io/Logging_1266/klagomål/S 913-2023 FSC-klagomål.docx", "S 913-2023")</f>
        <v/>
      </c>
      <c r="AB38">
        <f>HYPERLINK("https://klasma.github.io/Logging_1266/klagomålsmail/S 913-2023 FSC-klagomål mail.docx", "S 913-2023")</f>
        <v/>
      </c>
      <c r="AC38">
        <f>HYPERLINK("https://klasma.github.io/Logging_1266/tillsyn/S 913-2023 tillsynsbegäran.docx", "S 913-2023")</f>
        <v/>
      </c>
      <c r="AD38">
        <f>HYPERLINK("https://klasma.github.io/Logging_1266/tillsynsmail/S 913-2023 tillsynsbegäran mail.docx", "S 913-2023")</f>
        <v/>
      </c>
    </row>
    <row r="39" ht="15" customHeight="1">
      <c r="A39" t="inlineStr">
        <is>
          <t>A 63913-2021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44509</v>
      </c>
      <c r="E39" s="1" t="n">
        <v>46311</v>
      </c>
      <c r="F39" t="inlineStr">
        <is>
          <t>SKÅNE LÄN</t>
        </is>
      </c>
      <c r="G39" t="inlineStr">
        <is>
          <t>HÖRBY</t>
        </is>
      </c>
      <c r="I39" t="n">
        <v>0.7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15794-2022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44663</v>
      </c>
      <c r="E40" s="1" t="n">
        <v>46311</v>
      </c>
      <c r="F40" t="inlineStr">
        <is>
          <t>SKÅNE LÄN</t>
        </is>
      </c>
      <c r="G40" t="inlineStr">
        <is>
          <t>HÖRBY</t>
        </is>
      </c>
      <c r="I40" t="n">
        <v>0.5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64128-2021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44509</v>
      </c>
      <c r="E41" s="1" t="n">
        <v>46311</v>
      </c>
      <c r="F41" t="inlineStr">
        <is>
          <t>SKÅNE LÄN</t>
        </is>
      </c>
      <c r="G41" t="inlineStr">
        <is>
          <t>HÖRBY</t>
        </is>
      </c>
      <c r="I41" t="n">
        <v>0.4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19981-2022</t>
        </is>
      </c>
      <c r="B42" t="inlineStr">
        <is>
          <t>avverkningsanmälan</t>
        </is>
      </c>
      <c r="C42" t="inlineStr">
        <is>
          <t>Avverkning för annat ändamål</t>
        </is>
      </c>
      <c r="D42" s="1" t="n">
        <v>44697</v>
      </c>
      <c r="E42" s="1" t="n">
        <v>46311</v>
      </c>
      <c r="F42" t="inlineStr">
        <is>
          <t>SKÅNE LÄN</t>
        </is>
      </c>
      <c r="G42" t="inlineStr">
        <is>
          <t>HÖRBY</t>
        </is>
      </c>
      <c r="I42" t="n">
        <v>2.9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64255-2021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44510</v>
      </c>
      <c r="E43" s="1" t="n">
        <v>46311</v>
      </c>
      <c r="F43" t="inlineStr">
        <is>
          <t>SKÅNE LÄN</t>
        </is>
      </c>
      <c r="G43" t="inlineStr">
        <is>
          <t>HÖRBY</t>
        </is>
      </c>
      <c r="I43" t="n">
        <v>0.5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43389-2022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44834</v>
      </c>
      <c r="E44" s="1" t="n">
        <v>46311</v>
      </c>
      <c r="F44" t="inlineStr">
        <is>
          <t>SKÅNE LÄN</t>
        </is>
      </c>
      <c r="G44" t="inlineStr">
        <is>
          <t>HÖRBY</t>
        </is>
      </c>
      <c r="I44" t="n">
        <v>0.4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31285-2022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44771</v>
      </c>
      <c r="E45" s="1" t="n">
        <v>46311</v>
      </c>
      <c r="F45" t="inlineStr">
        <is>
          <t>SKÅNE LÄN</t>
        </is>
      </c>
      <c r="G45" t="inlineStr">
        <is>
          <t>HÖRBY</t>
        </is>
      </c>
      <c r="I45" t="n">
        <v>0.7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33571-2022</t>
        </is>
      </c>
      <c r="B46" t="inlineStr">
        <is>
          <t>avverkningsanmälan</t>
        </is>
      </c>
      <c r="C46" t="inlineStr">
        <is>
          <t>Avverkning för annat ändamål</t>
        </is>
      </c>
      <c r="D46" s="1" t="n">
        <v>44789</v>
      </c>
      <c r="E46" s="1" t="n">
        <v>46311</v>
      </c>
      <c r="F46" t="inlineStr">
        <is>
          <t>SKÅNE LÄN</t>
        </is>
      </c>
      <c r="G46" t="inlineStr">
        <is>
          <t>HÖRBY</t>
        </is>
      </c>
      <c r="I46" t="n">
        <v>0.5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18735-2023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45043</v>
      </c>
      <c r="E47" s="1" t="n">
        <v>46311</v>
      </c>
      <c r="F47" t="inlineStr">
        <is>
          <t>SKÅNE LÄN</t>
        </is>
      </c>
      <c r="G47" t="inlineStr">
        <is>
          <t>HÖRBY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43711-2024</t>
        </is>
      </c>
      <c r="B48" t="inlineStr">
        <is>
          <t>avverkningsanmälan</t>
        </is>
      </c>
      <c r="C48" t="inlineStr">
        <is>
          <t>Avverkning för annat ändamål</t>
        </is>
      </c>
      <c r="D48" s="1" t="n">
        <v>45569</v>
      </c>
      <c r="E48" s="1" t="n">
        <v>46311</v>
      </c>
      <c r="F48" t="inlineStr">
        <is>
          <t>SKÅNE LÄN</t>
        </is>
      </c>
      <c r="G48" t="inlineStr">
        <is>
          <t>HÖRBY</t>
        </is>
      </c>
      <c r="I48" t="n">
        <v>3.4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25850-2022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44733</v>
      </c>
      <c r="E49" s="1" t="n">
        <v>46311</v>
      </c>
      <c r="F49" t="inlineStr">
        <is>
          <t>SKÅNE LÄN</t>
        </is>
      </c>
      <c r="G49" t="inlineStr">
        <is>
          <t>HÖRBY</t>
        </is>
      </c>
      <c r="I49" t="n">
        <v>0.8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23484-2025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45792</v>
      </c>
      <c r="E50" s="1" t="n">
        <v>46311</v>
      </c>
      <c r="F50" t="inlineStr">
        <is>
          <t>SKÅNE LÄN</t>
        </is>
      </c>
      <c r="G50" t="inlineStr">
        <is>
          <t>HÖRBY</t>
        </is>
      </c>
      <c r="I50" t="n">
        <v>3.5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43380-2022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44834</v>
      </c>
      <c r="E51" s="1" t="n">
        <v>46311</v>
      </c>
      <c r="F51" t="inlineStr">
        <is>
          <t>SKÅNE LÄN</t>
        </is>
      </c>
      <c r="G51" t="inlineStr">
        <is>
          <t>HÖRBY</t>
        </is>
      </c>
      <c r="I51" t="n">
        <v>1.7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47609-2023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45203</v>
      </c>
      <c r="E52" s="1" t="n">
        <v>46311</v>
      </c>
      <c r="F52" t="inlineStr">
        <is>
          <t>SKÅNE LÄN</t>
        </is>
      </c>
      <c r="G52" t="inlineStr">
        <is>
          <t>HÖRBY</t>
        </is>
      </c>
      <c r="I52" t="n">
        <v>2.4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9974-2024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45363</v>
      </c>
      <c r="E53" s="1" t="n">
        <v>46311</v>
      </c>
      <c r="F53" t="inlineStr">
        <is>
          <t>SKÅNE LÄN</t>
        </is>
      </c>
      <c r="G53" t="inlineStr">
        <is>
          <t>HÖRBY</t>
        </is>
      </c>
      <c r="I53" t="n">
        <v>0.6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28550-2025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45818</v>
      </c>
      <c r="E54" s="1" t="n">
        <v>46311</v>
      </c>
      <c r="F54" t="inlineStr">
        <is>
          <t>SKÅNE LÄN</t>
        </is>
      </c>
      <c r="G54" t="inlineStr">
        <is>
          <t>HÖRBY</t>
        </is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15970-2024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45405</v>
      </c>
      <c r="E55" s="1" t="n">
        <v>46311</v>
      </c>
      <c r="F55" t="inlineStr">
        <is>
          <t>SKÅNE LÄN</t>
        </is>
      </c>
      <c r="G55" t="inlineStr">
        <is>
          <t>HÖRBY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9612-2025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45715</v>
      </c>
      <c r="E56" s="1" t="n">
        <v>46311</v>
      </c>
      <c r="F56" t="inlineStr">
        <is>
          <t>SKÅNE LÄN</t>
        </is>
      </c>
      <c r="G56" t="inlineStr">
        <is>
          <t>HÖRBY</t>
        </is>
      </c>
      <c r="I56" t="n">
        <v>1.2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28493-2023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45103</v>
      </c>
      <c r="E57" s="1" t="n">
        <v>46311</v>
      </c>
      <c r="F57" t="inlineStr">
        <is>
          <t>SKÅNE LÄN</t>
        </is>
      </c>
      <c r="G57" t="inlineStr">
        <is>
          <t>HÖRBY</t>
        </is>
      </c>
      <c r="I57" t="n">
        <v>0.8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36840-2024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45538</v>
      </c>
      <c r="E58" s="1" t="n">
        <v>46311</v>
      </c>
      <c r="F58" t="inlineStr">
        <is>
          <t>SKÅNE LÄN</t>
        </is>
      </c>
      <c r="G58" t="inlineStr">
        <is>
          <t>HÖRBY</t>
        </is>
      </c>
      <c r="H58" t="inlineStr">
        <is>
          <t>Sveaskog</t>
        </is>
      </c>
      <c r="I58" t="n">
        <v>0.9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60913-2023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45261</v>
      </c>
      <c r="E59" s="1" t="n">
        <v>46311</v>
      </c>
      <c r="F59" t="inlineStr">
        <is>
          <t>SKÅNE LÄN</t>
        </is>
      </c>
      <c r="G59" t="inlineStr">
        <is>
          <t>HÖRBY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5163-2024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45330</v>
      </c>
      <c r="E60" s="1" t="n">
        <v>46311</v>
      </c>
      <c r="F60" t="inlineStr">
        <is>
          <t>SKÅNE LÄN</t>
        </is>
      </c>
      <c r="G60" t="inlineStr">
        <is>
          <t>HÖRBY</t>
        </is>
      </c>
      <c r="H60" t="inlineStr">
        <is>
          <t>Kyrkan</t>
        </is>
      </c>
      <c r="I60" t="n">
        <v>7.1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29244-2025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45824</v>
      </c>
      <c r="E61" s="1" t="n">
        <v>46311</v>
      </c>
      <c r="F61" t="inlineStr">
        <is>
          <t>SKÅNE LÄN</t>
        </is>
      </c>
      <c r="G61" t="inlineStr">
        <is>
          <t>HÖRBY</t>
        </is>
      </c>
      <c r="I61" t="n">
        <v>0.7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29354-2025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45824</v>
      </c>
      <c r="E62" s="1" t="n">
        <v>46311</v>
      </c>
      <c r="F62" t="inlineStr">
        <is>
          <t>SKÅNE LÄN</t>
        </is>
      </c>
      <c r="G62" t="inlineStr">
        <is>
          <t>HÖRBY</t>
        </is>
      </c>
      <c r="I62" t="n">
        <v>0.8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37724-2022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44810</v>
      </c>
      <c r="E63" s="1" t="n">
        <v>46311</v>
      </c>
      <c r="F63" t="inlineStr">
        <is>
          <t>SKÅNE LÄN</t>
        </is>
      </c>
      <c r="G63" t="inlineStr">
        <is>
          <t>HÖRBY</t>
        </is>
      </c>
      <c r="I63" t="n">
        <v>1.2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37728-2022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44810</v>
      </c>
      <c r="E64" s="1" t="n">
        <v>46311</v>
      </c>
      <c r="F64" t="inlineStr">
        <is>
          <t>SKÅNE LÄN</t>
        </is>
      </c>
      <c r="G64" t="inlineStr">
        <is>
          <t>HÖRBY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8084-2022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44608</v>
      </c>
      <c r="E65" s="1" t="n">
        <v>46311</v>
      </c>
      <c r="F65" t="inlineStr">
        <is>
          <t>SKÅNE LÄN</t>
        </is>
      </c>
      <c r="G65" t="inlineStr">
        <is>
          <t>HÖRBY</t>
        </is>
      </c>
      <c r="I65" t="n">
        <v>1.5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2981-2024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45315</v>
      </c>
      <c r="E66" s="1" t="n">
        <v>46311</v>
      </c>
      <c r="F66" t="inlineStr">
        <is>
          <t>SKÅNE LÄN</t>
        </is>
      </c>
      <c r="G66" t="inlineStr">
        <is>
          <t>HÖRBY</t>
        </is>
      </c>
      <c r="H66" t="inlineStr">
        <is>
          <t>Kyrkan</t>
        </is>
      </c>
      <c r="I66" t="n">
        <v>6.4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56818-2022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44894</v>
      </c>
      <c r="E67" s="1" t="n">
        <v>46311</v>
      </c>
      <c r="F67" t="inlineStr">
        <is>
          <t>SKÅNE LÄN</t>
        </is>
      </c>
      <c r="G67" t="inlineStr">
        <is>
          <t>HÖRBY</t>
        </is>
      </c>
      <c r="I67" t="n">
        <v>1.8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32459-2025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45838</v>
      </c>
      <c r="E68" s="1" t="n">
        <v>46311</v>
      </c>
      <c r="F68" t="inlineStr">
        <is>
          <t>SKÅNE LÄN</t>
        </is>
      </c>
      <c r="G68" t="inlineStr">
        <is>
          <t>HÖRBY</t>
        </is>
      </c>
      <c r="I68" t="n">
        <v>1.2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33359-2023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45128</v>
      </c>
      <c r="E69" s="1" t="n">
        <v>46311</v>
      </c>
      <c r="F69" t="inlineStr">
        <is>
          <t>SKÅNE LÄN</t>
        </is>
      </c>
      <c r="G69" t="inlineStr">
        <is>
          <t>HÖRBY</t>
        </is>
      </c>
      <c r="I69" t="n">
        <v>0.9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28625-2023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45103</v>
      </c>
      <c r="E70" s="1" t="n">
        <v>46311</v>
      </c>
      <c r="F70" t="inlineStr">
        <is>
          <t>SKÅNE LÄN</t>
        </is>
      </c>
      <c r="G70" t="inlineStr">
        <is>
          <t>HÖRBY</t>
        </is>
      </c>
      <c r="I70" t="n">
        <v>4.8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32958-2025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45839</v>
      </c>
      <c r="E71" s="1" t="n">
        <v>46311</v>
      </c>
      <c r="F71" t="inlineStr">
        <is>
          <t>SKÅNE LÄN</t>
        </is>
      </c>
      <c r="G71" t="inlineStr">
        <is>
          <t>HÖRBY</t>
        </is>
      </c>
      <c r="I71" t="n">
        <v>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54894-2023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45236</v>
      </c>
      <c r="E72" s="1" t="n">
        <v>46311</v>
      </c>
      <c r="F72" t="inlineStr">
        <is>
          <t>SKÅNE LÄN</t>
        </is>
      </c>
      <c r="G72" t="inlineStr">
        <is>
          <t>HÖRBY</t>
        </is>
      </c>
      <c r="I72" t="n">
        <v>0.6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37756-2024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45541</v>
      </c>
      <c r="E73" s="1" t="n">
        <v>46311</v>
      </c>
      <c r="F73" t="inlineStr">
        <is>
          <t>SKÅNE LÄN</t>
        </is>
      </c>
      <c r="G73" t="inlineStr">
        <is>
          <t>HÖRBY</t>
        </is>
      </c>
      <c r="I73" t="n">
        <v>3.2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36689-2024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45537</v>
      </c>
      <c r="E74" s="1" t="n">
        <v>46311</v>
      </c>
      <c r="F74" t="inlineStr">
        <is>
          <t>SKÅNE LÄN</t>
        </is>
      </c>
      <c r="G74" t="inlineStr">
        <is>
          <t>HÖRBY</t>
        </is>
      </c>
      <c r="H74" t="inlineStr">
        <is>
          <t>Sveaskog</t>
        </is>
      </c>
      <c r="I74" t="n">
        <v>9.5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38080-2024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45545</v>
      </c>
      <c r="E75" s="1" t="n">
        <v>46311</v>
      </c>
      <c r="F75" t="inlineStr">
        <is>
          <t>SKÅNE LÄN</t>
        </is>
      </c>
      <c r="G75" t="inlineStr">
        <is>
          <t>HÖRBY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36355-2025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45868</v>
      </c>
      <c r="E76" s="1" t="n">
        <v>46311</v>
      </c>
      <c r="F76" t="inlineStr">
        <is>
          <t>SKÅNE LÄN</t>
        </is>
      </c>
      <c r="G76" t="inlineStr">
        <is>
          <t>HÖRBY</t>
        </is>
      </c>
      <c r="I76" t="n">
        <v>3.6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28746-2024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45478</v>
      </c>
      <c r="E77" s="1" t="n">
        <v>46311</v>
      </c>
      <c r="F77" t="inlineStr">
        <is>
          <t>SKÅNE LÄN</t>
        </is>
      </c>
      <c r="G77" t="inlineStr">
        <is>
          <t>HÖRBY</t>
        </is>
      </c>
      <c r="I77" t="n">
        <v>1.9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13804-2024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45391</v>
      </c>
      <c r="E78" s="1" t="n">
        <v>46311</v>
      </c>
      <c r="F78" t="inlineStr">
        <is>
          <t>SKÅNE LÄN</t>
        </is>
      </c>
      <c r="G78" t="inlineStr">
        <is>
          <t>HÖRBY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37082-2023</t>
        </is>
      </c>
      <c r="B79" t="inlineStr">
        <is>
          <t>avverkningsanmälan</t>
        </is>
      </c>
      <c r="C79" t="inlineStr">
        <is>
          <t>Avverkning för annat ändamål</t>
        </is>
      </c>
      <c r="D79" s="1" t="n">
        <v>45155</v>
      </c>
      <c r="E79" s="1" t="n">
        <v>46311</v>
      </c>
      <c r="F79" t="inlineStr">
        <is>
          <t>SKÅNE LÄN</t>
        </is>
      </c>
      <c r="G79" t="inlineStr">
        <is>
          <t>HÖRBY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25552-2025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45803</v>
      </c>
      <c r="E80" s="1" t="n">
        <v>46311</v>
      </c>
      <c r="F80" t="inlineStr">
        <is>
          <t>SKÅNE LÄN</t>
        </is>
      </c>
      <c r="G80" t="inlineStr">
        <is>
          <t>HÖRBY</t>
        </is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2752-2023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44944</v>
      </c>
      <c r="E81" s="1" t="n">
        <v>46311</v>
      </c>
      <c r="F81" t="inlineStr">
        <is>
          <t>SKÅNE LÄN</t>
        </is>
      </c>
      <c r="G81" t="inlineStr">
        <is>
          <t>HÖRBY</t>
        </is>
      </c>
      <c r="H81" t="inlineStr">
        <is>
          <t>Sveaskog</t>
        </is>
      </c>
      <c r="I81" t="n">
        <v>0.6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38147-2025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45882</v>
      </c>
      <c r="E82" s="1" t="n">
        <v>46311</v>
      </c>
      <c r="F82" t="inlineStr">
        <is>
          <t>SKÅNE LÄN</t>
        </is>
      </c>
      <c r="G82" t="inlineStr">
        <is>
          <t>HÖRBY</t>
        </is>
      </c>
      <c r="I82" t="n">
        <v>1.6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6886-2024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45342</v>
      </c>
      <c r="E83" s="1" t="n">
        <v>46311</v>
      </c>
      <c r="F83" t="inlineStr">
        <is>
          <t>SKÅNE LÄN</t>
        </is>
      </c>
      <c r="G83" t="inlineStr">
        <is>
          <t>HÖRBY</t>
        </is>
      </c>
      <c r="H83" t="inlineStr">
        <is>
          <t>Sveaskog</t>
        </is>
      </c>
      <c r="I83" t="n">
        <v>0.5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28785-2023</t>
        </is>
      </c>
      <c r="B84" t="inlineStr">
        <is>
          <t>avverkningsanmälan</t>
        </is>
      </c>
      <c r="C84" t="inlineStr">
        <is>
          <t>Avverkning för annat ändamål</t>
        </is>
      </c>
      <c r="D84" s="1" t="n">
        <v>45104</v>
      </c>
      <c r="E84" s="1" t="n">
        <v>46311</v>
      </c>
      <c r="F84" t="inlineStr">
        <is>
          <t>SKÅNE LÄN</t>
        </is>
      </c>
      <c r="G84" t="inlineStr">
        <is>
          <t>HÖRBY</t>
        </is>
      </c>
      <c r="I84" t="n">
        <v>2.1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13225-2024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45386</v>
      </c>
      <c r="E85" s="1" t="n">
        <v>46311</v>
      </c>
      <c r="F85" t="inlineStr">
        <is>
          <t>SKÅNE LÄN</t>
        </is>
      </c>
      <c r="G85" t="inlineStr">
        <is>
          <t>HÖRBY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13226-2024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45386</v>
      </c>
      <c r="E86" s="1" t="n">
        <v>46311</v>
      </c>
      <c r="F86" t="inlineStr">
        <is>
          <t>SKÅNE LÄN</t>
        </is>
      </c>
      <c r="G86" t="inlineStr">
        <is>
          <t>HÖRBY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48397-2022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44858</v>
      </c>
      <c r="E87" s="1" t="n">
        <v>46311</v>
      </c>
      <c r="F87" t="inlineStr">
        <is>
          <t>SKÅNE LÄN</t>
        </is>
      </c>
      <c r="G87" t="inlineStr">
        <is>
          <t>HÖRBY</t>
        </is>
      </c>
      <c r="I87" t="n">
        <v>1.7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1106-2023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44935</v>
      </c>
      <c r="E88" s="1" t="n">
        <v>46311</v>
      </c>
      <c r="F88" t="inlineStr">
        <is>
          <t>SKÅNE LÄN</t>
        </is>
      </c>
      <c r="G88" t="inlineStr">
        <is>
          <t>HÖRBY</t>
        </is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15998-2024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45405</v>
      </c>
      <c r="E89" s="1" t="n">
        <v>46311</v>
      </c>
      <c r="F89" t="inlineStr">
        <is>
          <t>SKÅNE LÄN</t>
        </is>
      </c>
      <c r="G89" t="inlineStr">
        <is>
          <t>HÖRBY</t>
        </is>
      </c>
      <c r="I89" t="n">
        <v>0.4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16001-2024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45405</v>
      </c>
      <c r="E90" s="1" t="n">
        <v>46311</v>
      </c>
      <c r="F90" t="inlineStr">
        <is>
          <t>SKÅNE LÄN</t>
        </is>
      </c>
      <c r="G90" t="inlineStr">
        <is>
          <t>HÖRBY</t>
        </is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17073-2023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45034</v>
      </c>
      <c r="E91" s="1" t="n">
        <v>46311</v>
      </c>
      <c r="F91" t="inlineStr">
        <is>
          <t>SKÅNE LÄN</t>
        </is>
      </c>
      <c r="G91" t="inlineStr">
        <is>
          <t>HÖRBY</t>
        </is>
      </c>
      <c r="I91" t="n">
        <v>1.2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14307-2026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46099</v>
      </c>
      <c r="E92" s="1" t="n">
        <v>46311</v>
      </c>
      <c r="F92" t="inlineStr">
        <is>
          <t>SKÅNE LÄN</t>
        </is>
      </c>
      <c r="G92" t="inlineStr">
        <is>
          <t>HÖRBY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2979-2024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45315</v>
      </c>
      <c r="E93" s="1" t="n">
        <v>46311</v>
      </c>
      <c r="F93" t="inlineStr">
        <is>
          <t>SKÅNE LÄN</t>
        </is>
      </c>
      <c r="G93" t="inlineStr">
        <is>
          <t>HÖRBY</t>
        </is>
      </c>
      <c r="H93" t="inlineStr">
        <is>
          <t>Kyrkan</t>
        </is>
      </c>
      <c r="I93" t="n">
        <v>4.7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3520-2026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46042</v>
      </c>
      <c r="E94" s="1" t="n">
        <v>46311</v>
      </c>
      <c r="F94" t="inlineStr">
        <is>
          <t>SKÅNE LÄN</t>
        </is>
      </c>
      <c r="G94" t="inlineStr">
        <is>
          <t>HÖRBY</t>
        </is>
      </c>
      <c r="I94" t="n">
        <v>0.8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3470-2026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46042</v>
      </c>
      <c r="E95" s="1" t="n">
        <v>46311</v>
      </c>
      <c r="F95" t="inlineStr">
        <is>
          <t>SKÅNE LÄN</t>
        </is>
      </c>
      <c r="G95" t="inlineStr">
        <is>
          <t>HÖRBY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31596-2023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45117</v>
      </c>
      <c r="E96" s="1" t="n">
        <v>46311</v>
      </c>
      <c r="F96" t="inlineStr">
        <is>
          <t>SKÅNE LÄN</t>
        </is>
      </c>
      <c r="G96" t="inlineStr">
        <is>
          <t>HÖRBY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9850-2026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46072</v>
      </c>
      <c r="E97" s="1" t="n">
        <v>46311</v>
      </c>
      <c r="F97" t="inlineStr">
        <is>
          <t>SKÅNE LÄN</t>
        </is>
      </c>
      <c r="G97" t="inlineStr">
        <is>
          <t>HÖRBY</t>
        </is>
      </c>
      <c r="I97" t="n">
        <v>2.2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3513-2026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46042</v>
      </c>
      <c r="E98" s="1" t="n">
        <v>46311</v>
      </c>
      <c r="F98" t="inlineStr">
        <is>
          <t>SKÅNE LÄN</t>
        </is>
      </c>
      <c r="G98" t="inlineStr">
        <is>
          <t>HÖRBY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43828-2024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45572</v>
      </c>
      <c r="E99" s="1" t="n">
        <v>46311</v>
      </c>
      <c r="F99" t="inlineStr">
        <is>
          <t>SKÅNE LÄN</t>
        </is>
      </c>
      <c r="G99" t="inlineStr">
        <is>
          <t>HÖRBY</t>
        </is>
      </c>
      <c r="I99" t="n">
        <v>0.9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54184-2024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45616</v>
      </c>
      <c r="E100" s="1" t="n">
        <v>46311</v>
      </c>
      <c r="F100" t="inlineStr">
        <is>
          <t>SKÅNE LÄN</t>
        </is>
      </c>
      <c r="G100" t="inlineStr">
        <is>
          <t>HÖRBY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7402-2026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46059</v>
      </c>
      <c r="E101" s="1" t="n">
        <v>46311</v>
      </c>
      <c r="F101" t="inlineStr">
        <is>
          <t>SKÅNE LÄN</t>
        </is>
      </c>
      <c r="G101" t="inlineStr">
        <is>
          <t>HÖRBY</t>
        </is>
      </c>
      <c r="I101" t="n">
        <v>4.7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18609-2025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45763</v>
      </c>
      <c r="E102" s="1" t="n">
        <v>46311</v>
      </c>
      <c r="F102" t="inlineStr">
        <is>
          <t>SKÅNE LÄN</t>
        </is>
      </c>
      <c r="G102" t="inlineStr">
        <is>
          <t>HÖRBY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56750-2023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45238</v>
      </c>
      <c r="E103" s="1" t="n">
        <v>46311</v>
      </c>
      <c r="F103" t="inlineStr">
        <is>
          <t>SKÅNE LÄN</t>
        </is>
      </c>
      <c r="G103" t="inlineStr">
        <is>
          <t>HÖRBY</t>
        </is>
      </c>
      <c r="I103" t="n">
        <v>0.8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42715-2023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45176</v>
      </c>
      <c r="E104" s="1" t="n">
        <v>46311</v>
      </c>
      <c r="F104" t="inlineStr">
        <is>
          <t>SKÅNE LÄN</t>
        </is>
      </c>
      <c r="G104" t="inlineStr">
        <is>
          <t>HÖRBY</t>
        </is>
      </c>
      <c r="I104" t="n">
        <v>0.5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13633-2024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45390</v>
      </c>
      <c r="E105" s="1" t="n">
        <v>46311</v>
      </c>
      <c r="F105" t="inlineStr">
        <is>
          <t>SKÅNE LÄN</t>
        </is>
      </c>
      <c r="G105" t="inlineStr">
        <is>
          <t>HÖRBY</t>
        </is>
      </c>
      <c r="I105" t="n">
        <v>1.1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43932-2023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45187</v>
      </c>
      <c r="E106" s="1" t="n">
        <v>46311</v>
      </c>
      <c r="F106" t="inlineStr">
        <is>
          <t>SKÅNE LÄN</t>
        </is>
      </c>
      <c r="G106" t="inlineStr">
        <is>
          <t>HÖRBY</t>
        </is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43935-2023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45187</v>
      </c>
      <c r="E107" s="1" t="n">
        <v>46311</v>
      </c>
      <c r="F107" t="inlineStr">
        <is>
          <t>SKÅNE LÄN</t>
        </is>
      </c>
      <c r="G107" t="inlineStr">
        <is>
          <t>HÖRBY</t>
        </is>
      </c>
      <c r="I107" t="n">
        <v>2.9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20403-2024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45435</v>
      </c>
      <c r="E108" s="1" t="n">
        <v>46311</v>
      </c>
      <c r="F108" t="inlineStr">
        <is>
          <t>SKÅNE LÄN</t>
        </is>
      </c>
      <c r="G108" t="inlineStr">
        <is>
          <t>HÖRBY</t>
        </is>
      </c>
      <c r="I108" t="n">
        <v>0.9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3040-2024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45316</v>
      </c>
      <c r="E109" s="1" t="n">
        <v>46311</v>
      </c>
      <c r="F109" t="inlineStr">
        <is>
          <t>SKÅNE LÄN</t>
        </is>
      </c>
      <c r="G109" t="inlineStr">
        <is>
          <t>HÖRBY</t>
        </is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44816-2023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45190</v>
      </c>
      <c r="E110" s="1" t="n">
        <v>46311</v>
      </c>
      <c r="F110" t="inlineStr">
        <is>
          <t>SKÅNE LÄN</t>
        </is>
      </c>
      <c r="G110" t="inlineStr">
        <is>
          <t>HÖRBY</t>
        </is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47552-2023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45203</v>
      </c>
      <c r="E111" s="1" t="n">
        <v>46311</v>
      </c>
      <c r="F111" t="inlineStr">
        <is>
          <t>SKÅNE LÄN</t>
        </is>
      </c>
      <c r="G111" t="inlineStr">
        <is>
          <t>HÖRBY</t>
        </is>
      </c>
      <c r="I111" t="n">
        <v>1.3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58641-2023</t>
        </is>
      </c>
      <c r="B112" t="inlineStr">
        <is>
          <t>avverkningsanmälan</t>
        </is>
      </c>
      <c r="C112" t="inlineStr">
        <is>
          <t>Avverkning för annat ändamål</t>
        </is>
      </c>
      <c r="D112" s="1" t="n">
        <v>45251</v>
      </c>
      <c r="E112" s="1" t="n">
        <v>46311</v>
      </c>
      <c r="F112" t="inlineStr">
        <is>
          <t>SKÅNE LÄN</t>
        </is>
      </c>
      <c r="G112" t="inlineStr">
        <is>
          <t>HÖRBY</t>
        </is>
      </c>
      <c r="I112" t="n">
        <v>1.2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5079-2026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46049</v>
      </c>
      <c r="E113" s="1" t="n">
        <v>46311</v>
      </c>
      <c r="F113" t="inlineStr">
        <is>
          <t>SKÅNE LÄN</t>
        </is>
      </c>
      <c r="G113" t="inlineStr">
        <is>
          <t>HÖRBY</t>
        </is>
      </c>
      <c r="I113" t="n">
        <v>1.3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54431-2023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45226</v>
      </c>
      <c r="E114" s="1" t="n">
        <v>46311</v>
      </c>
      <c r="F114" t="inlineStr">
        <is>
          <t>SKÅNE LÄN</t>
        </is>
      </c>
      <c r="G114" t="inlineStr">
        <is>
          <t>HÖRBY</t>
        </is>
      </c>
      <c r="I114" t="n">
        <v>3.2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18603-2025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45763</v>
      </c>
      <c r="E115" s="1" t="n">
        <v>46311</v>
      </c>
      <c r="F115" t="inlineStr">
        <is>
          <t>SKÅNE LÄN</t>
        </is>
      </c>
      <c r="G115" t="inlineStr">
        <is>
          <t>HÖRBY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19777-2023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45051</v>
      </c>
      <c r="E116" s="1" t="n">
        <v>46311</v>
      </c>
      <c r="F116" t="inlineStr">
        <is>
          <t>SKÅNE LÄN</t>
        </is>
      </c>
      <c r="G116" t="inlineStr">
        <is>
          <t>HÖRBY</t>
        </is>
      </c>
      <c r="I116" t="n">
        <v>4.3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3346-2024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45317</v>
      </c>
      <c r="E117" s="1" t="n">
        <v>46311</v>
      </c>
      <c r="F117" t="inlineStr">
        <is>
          <t>SKÅNE LÄN</t>
        </is>
      </c>
      <c r="G117" t="inlineStr">
        <is>
          <t>HÖRBY</t>
        </is>
      </c>
      <c r="I117" t="n">
        <v>0.5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43879-2023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45187</v>
      </c>
      <c r="E118" s="1" t="n">
        <v>46311</v>
      </c>
      <c r="F118" t="inlineStr">
        <is>
          <t>SKÅNE LÄN</t>
        </is>
      </c>
      <c r="G118" t="inlineStr">
        <is>
          <t>HÖRBY</t>
        </is>
      </c>
      <c r="H118" t="inlineStr">
        <is>
          <t>Sveaskog</t>
        </is>
      </c>
      <c r="I118" t="n">
        <v>1.1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65073-2023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45287</v>
      </c>
      <c r="E119" s="1" t="n">
        <v>46311</v>
      </c>
      <c r="F119" t="inlineStr">
        <is>
          <t>SKÅNE LÄN</t>
        </is>
      </c>
      <c r="G119" t="inlineStr">
        <is>
          <t>HÖRBY</t>
        </is>
      </c>
      <c r="I119" t="n">
        <v>1.7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788-2024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45300</v>
      </c>
      <c r="E120" s="1" t="n">
        <v>46311</v>
      </c>
      <c r="F120" t="inlineStr">
        <is>
          <t>SKÅNE LÄN</t>
        </is>
      </c>
      <c r="G120" t="inlineStr">
        <is>
          <t>HÖRBY</t>
        </is>
      </c>
      <c r="I120" t="n">
        <v>0.6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3471-2025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45680</v>
      </c>
      <c r="E121" s="1" t="n">
        <v>46311</v>
      </c>
      <c r="F121" t="inlineStr">
        <is>
          <t>SKÅNE LÄN</t>
        </is>
      </c>
      <c r="G121" t="inlineStr">
        <is>
          <t>HÖRBY</t>
        </is>
      </c>
      <c r="I121" t="n">
        <v>3.7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49726-2023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45208</v>
      </c>
      <c r="E122" s="1" t="n">
        <v>46311</v>
      </c>
      <c r="F122" t="inlineStr">
        <is>
          <t>SKÅNE LÄN</t>
        </is>
      </c>
      <c r="G122" t="inlineStr">
        <is>
          <t>HÖRBY</t>
        </is>
      </c>
      <c r="I122" t="n">
        <v>1.3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28501-2023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45103</v>
      </c>
      <c r="E123" s="1" t="n">
        <v>46311</v>
      </c>
      <c r="F123" t="inlineStr">
        <is>
          <t>SKÅNE LÄN</t>
        </is>
      </c>
      <c r="G123" t="inlineStr">
        <is>
          <t>HÖRBY</t>
        </is>
      </c>
      <c r="I123" t="n">
        <v>3.6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33873-2024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45521</v>
      </c>
      <c r="E124" s="1" t="n">
        <v>46311</v>
      </c>
      <c r="F124" t="inlineStr">
        <is>
          <t>SKÅNE LÄN</t>
        </is>
      </c>
      <c r="G124" t="inlineStr">
        <is>
          <t>HÖRBY</t>
        </is>
      </c>
      <c r="I124" t="n">
        <v>3.5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50715-2024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45602</v>
      </c>
      <c r="E125" s="1" t="n">
        <v>46311</v>
      </c>
      <c r="F125" t="inlineStr">
        <is>
          <t>SKÅNE LÄN</t>
        </is>
      </c>
      <c r="G125" t="inlineStr">
        <is>
          <t>HÖRBY</t>
        </is>
      </c>
      <c r="I125" t="n">
        <v>0.4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58360-2023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45250</v>
      </c>
      <c r="E126" s="1" t="n">
        <v>46311</v>
      </c>
      <c r="F126" t="inlineStr">
        <is>
          <t>SKÅNE LÄN</t>
        </is>
      </c>
      <c r="G126" t="inlineStr">
        <is>
          <t>HÖRBY</t>
        </is>
      </c>
      <c r="I126" t="n">
        <v>2.5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39298-2023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45166</v>
      </c>
      <c r="E127" s="1" t="n">
        <v>46311</v>
      </c>
      <c r="F127" t="inlineStr">
        <is>
          <t>SKÅNE LÄN</t>
        </is>
      </c>
      <c r="G127" t="inlineStr">
        <is>
          <t>HÖRBY</t>
        </is>
      </c>
      <c r="I127" t="n">
        <v>4.6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29219-2023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45105</v>
      </c>
      <c r="E128" s="1" t="n">
        <v>46311</v>
      </c>
      <c r="F128" t="inlineStr">
        <is>
          <t>SKÅNE LÄN</t>
        </is>
      </c>
      <c r="G128" t="inlineStr">
        <is>
          <t>HÖRBY</t>
        </is>
      </c>
      <c r="I128" t="n">
        <v>0.7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3542-2025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45680</v>
      </c>
      <c r="E129" s="1" t="n">
        <v>46311</v>
      </c>
      <c r="F129" t="inlineStr">
        <is>
          <t>SKÅNE LÄN</t>
        </is>
      </c>
      <c r="G129" t="inlineStr">
        <is>
          <t>HÖRBY</t>
        </is>
      </c>
      <c r="H129" t="inlineStr">
        <is>
          <t>Kyrkan</t>
        </is>
      </c>
      <c r="I129" t="n">
        <v>1.4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2816-2025</t>
        </is>
      </c>
      <c r="B130" t="inlineStr">
        <is>
          <t>avverkningsanmälan</t>
        </is>
      </c>
      <c r="C130" t="inlineStr">
        <is>
          <t>Avverkning för annat ändamål</t>
        </is>
      </c>
      <c r="D130" s="1" t="n">
        <v>45677</v>
      </c>
      <c r="E130" s="1" t="n">
        <v>46311</v>
      </c>
      <c r="F130" t="inlineStr">
        <is>
          <t>SKÅNE LÄN</t>
        </is>
      </c>
      <c r="G130" t="inlineStr">
        <is>
          <t>HÖRBY</t>
        </is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16101-2025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45750</v>
      </c>
      <c r="E131" s="1" t="n">
        <v>46311</v>
      </c>
      <c r="F131" t="inlineStr">
        <is>
          <t>SKÅNE LÄN</t>
        </is>
      </c>
      <c r="G131" t="inlineStr">
        <is>
          <t>HÖRBY</t>
        </is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34422-2024</t>
        </is>
      </c>
      <c r="B132" t="inlineStr">
        <is>
          <t>avverkningsanmälan</t>
        </is>
      </c>
      <c r="C132" t="inlineStr">
        <is>
          <t>Avverkning för annat ändamål</t>
        </is>
      </c>
      <c r="D132" s="1" t="n">
        <v>45525</v>
      </c>
      <c r="E132" s="1" t="n">
        <v>46311</v>
      </c>
      <c r="F132" t="inlineStr">
        <is>
          <t>SKÅNE LÄN</t>
        </is>
      </c>
      <c r="G132" t="inlineStr">
        <is>
          <t>HÖRBY</t>
        </is>
      </c>
      <c r="I132" t="n">
        <v>1.5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11943-2025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45728</v>
      </c>
      <c r="E133" s="1" t="n">
        <v>46311</v>
      </c>
      <c r="F133" t="inlineStr">
        <is>
          <t>SKÅNE LÄN</t>
        </is>
      </c>
      <c r="G133" t="inlineStr">
        <is>
          <t>HÖRBY</t>
        </is>
      </c>
      <c r="I133" t="n">
        <v>1.2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44613-2023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45189</v>
      </c>
      <c r="E134" s="1" t="n">
        <v>46311</v>
      </c>
      <c r="F134" t="inlineStr">
        <is>
          <t>SKÅNE LÄN</t>
        </is>
      </c>
      <c r="G134" t="inlineStr">
        <is>
          <t>HÖRBY</t>
        </is>
      </c>
      <c r="H134" t="inlineStr">
        <is>
          <t>Sveaskog</t>
        </is>
      </c>
      <c r="I134" t="n">
        <v>3.8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47637-2023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45203</v>
      </c>
      <c r="E135" s="1" t="n">
        <v>46311</v>
      </c>
      <c r="F135" t="inlineStr">
        <is>
          <t>SKÅNE LÄN</t>
        </is>
      </c>
      <c r="G135" t="inlineStr">
        <is>
          <t>HÖRBY</t>
        </is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43937-2023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45187</v>
      </c>
      <c r="E136" s="1" t="n">
        <v>46311</v>
      </c>
      <c r="F136" t="inlineStr">
        <is>
          <t>SKÅNE LÄN</t>
        </is>
      </c>
      <c r="G136" t="inlineStr">
        <is>
          <t>HÖRBY</t>
        </is>
      </c>
      <c r="I136" t="n">
        <v>2.6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43939-2023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45187</v>
      </c>
      <c r="E137" s="1" t="n">
        <v>46311</v>
      </c>
      <c r="F137" t="inlineStr">
        <is>
          <t>SKÅNE LÄN</t>
        </is>
      </c>
      <c r="G137" t="inlineStr">
        <is>
          <t>HÖRBY</t>
        </is>
      </c>
      <c r="I137" t="n">
        <v>0.6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67426-2021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44523</v>
      </c>
      <c r="E138" s="1" t="n">
        <v>46311</v>
      </c>
      <c r="F138" t="inlineStr">
        <is>
          <t>SKÅNE LÄN</t>
        </is>
      </c>
      <c r="G138" t="inlineStr">
        <is>
          <t>HÖRBY</t>
        </is>
      </c>
      <c r="I138" t="n">
        <v>0.6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3534-2025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45680</v>
      </c>
      <c r="E139" s="1" t="n">
        <v>46311</v>
      </c>
      <c r="F139" t="inlineStr">
        <is>
          <t>SKÅNE LÄN</t>
        </is>
      </c>
      <c r="G139" t="inlineStr">
        <is>
          <t>HÖRBY</t>
        </is>
      </c>
      <c r="H139" t="inlineStr">
        <is>
          <t>Kyrkan</t>
        </is>
      </c>
      <c r="I139" t="n">
        <v>4.8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34154-2025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45845</v>
      </c>
      <c r="E140" s="1" t="n">
        <v>46311</v>
      </c>
      <c r="F140" t="inlineStr">
        <is>
          <t>SKÅNE LÄN</t>
        </is>
      </c>
      <c r="G140" t="inlineStr">
        <is>
          <t>HÖRBY</t>
        </is>
      </c>
      <c r="I140" t="n">
        <v>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7831-2025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45706</v>
      </c>
      <c r="E141" s="1" t="n">
        <v>46311</v>
      </c>
      <c r="F141" t="inlineStr">
        <is>
          <t>SKÅNE LÄN</t>
        </is>
      </c>
      <c r="G141" t="inlineStr">
        <is>
          <t>HÖRBY</t>
        </is>
      </c>
      <c r="I141" t="n">
        <v>0.6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24670-2024</t>
        </is>
      </c>
      <c r="B142" t="inlineStr">
        <is>
          <t>avverkningsanmälan</t>
        </is>
      </c>
      <c r="C142" t="inlineStr">
        <is>
          <t>Avverkning för annat ändamål</t>
        </is>
      </c>
      <c r="D142" s="1" t="n">
        <v>45460</v>
      </c>
      <c r="E142" s="1" t="n">
        <v>46311</v>
      </c>
      <c r="F142" t="inlineStr">
        <is>
          <t>SKÅNE LÄN</t>
        </is>
      </c>
      <c r="G142" t="inlineStr">
        <is>
          <t>HÖRBY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4597-2026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46048</v>
      </c>
      <c r="E143" s="1" t="n">
        <v>46311</v>
      </c>
      <c r="F143" t="inlineStr">
        <is>
          <t>SKÅNE LÄN</t>
        </is>
      </c>
      <c r="G143" t="inlineStr">
        <is>
          <t>HÖRBY</t>
        </is>
      </c>
      <c r="I143" t="n">
        <v>1.3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6081-2023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44959</v>
      </c>
      <c r="E144" s="1" t="n">
        <v>46311</v>
      </c>
      <c r="F144" t="inlineStr">
        <is>
          <t>SKÅNE LÄN</t>
        </is>
      </c>
      <c r="G144" t="inlineStr">
        <is>
          <t>HÖRBY</t>
        </is>
      </c>
      <c r="I144" t="n">
        <v>0.4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31114-2024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45502</v>
      </c>
      <c r="E145" s="1" t="n">
        <v>46311</v>
      </c>
      <c r="F145" t="inlineStr">
        <is>
          <t>SKÅNE LÄN</t>
        </is>
      </c>
      <c r="G145" t="inlineStr">
        <is>
          <t>HÖRBY</t>
        </is>
      </c>
      <c r="I145" t="n">
        <v>0.6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11941-2025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45728</v>
      </c>
      <c r="E146" s="1" t="n">
        <v>46311</v>
      </c>
      <c r="F146" t="inlineStr">
        <is>
          <t>SKÅNE LÄN</t>
        </is>
      </c>
      <c r="G146" t="inlineStr">
        <is>
          <t>HÖRBY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4590-2026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46048</v>
      </c>
      <c r="E147" s="1" t="n">
        <v>46311</v>
      </c>
      <c r="F147" t="inlineStr">
        <is>
          <t>SKÅNE LÄN</t>
        </is>
      </c>
      <c r="G147" t="inlineStr">
        <is>
          <t>HÖRBY</t>
        </is>
      </c>
      <c r="I147" t="n">
        <v>1.1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6350-2026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46051</v>
      </c>
      <c r="E148" s="1" t="n">
        <v>46311</v>
      </c>
      <c r="F148" t="inlineStr">
        <is>
          <t>SKÅNE LÄN</t>
        </is>
      </c>
      <c r="G148" t="inlineStr">
        <is>
          <t>HÖRBY</t>
        </is>
      </c>
      <c r="I148" t="n">
        <v>2.4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18369-2025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45762</v>
      </c>
      <c r="E149" s="1" t="n">
        <v>46311</v>
      </c>
      <c r="F149" t="inlineStr">
        <is>
          <t>SKÅNE LÄN</t>
        </is>
      </c>
      <c r="G149" t="inlineStr">
        <is>
          <t>HÖRBY</t>
        </is>
      </c>
      <c r="I149" t="n">
        <v>2.2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38684-2022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44814</v>
      </c>
      <c r="E150" s="1" t="n">
        <v>46311</v>
      </c>
      <c r="F150" t="inlineStr">
        <is>
          <t>SKÅNE LÄN</t>
        </is>
      </c>
      <c r="G150" t="inlineStr">
        <is>
          <t>HÖRBY</t>
        </is>
      </c>
      <c r="I150" t="n">
        <v>2.5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37757-2024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45541</v>
      </c>
      <c r="E151" s="1" t="n">
        <v>46311</v>
      </c>
      <c r="F151" t="inlineStr">
        <is>
          <t>SKÅNE LÄN</t>
        </is>
      </c>
      <c r="G151" t="inlineStr">
        <is>
          <t>HÖRBY</t>
        </is>
      </c>
      <c r="I151" t="n">
        <v>0.7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25183-2023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45079</v>
      </c>
      <c r="E152" s="1" t="n">
        <v>46311</v>
      </c>
      <c r="F152" t="inlineStr">
        <is>
          <t>SKÅNE LÄN</t>
        </is>
      </c>
      <c r="G152" t="inlineStr">
        <is>
          <t>HÖRBY</t>
        </is>
      </c>
      <c r="I152" t="n">
        <v>1.5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44073-2024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45572</v>
      </c>
      <c r="E153" s="1" t="n">
        <v>46311</v>
      </c>
      <c r="F153" t="inlineStr">
        <is>
          <t>SKÅNE LÄN</t>
        </is>
      </c>
      <c r="G153" t="inlineStr">
        <is>
          <t>HÖRBY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37276-2024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45540</v>
      </c>
      <c r="E154" s="1" t="n">
        <v>46311</v>
      </c>
      <c r="F154" t="inlineStr">
        <is>
          <t>SKÅNE LÄN</t>
        </is>
      </c>
      <c r="G154" t="inlineStr">
        <is>
          <t>HÖRBY</t>
        </is>
      </c>
      <c r="I154" t="n">
        <v>1.6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3177-2026</t>
        </is>
      </c>
      <c r="B155" t="inlineStr">
        <is>
          <t>avverkningsanmälan</t>
        </is>
      </c>
      <c r="C155" t="inlineStr">
        <is>
          <t>Avverkning för annat ändamål</t>
        </is>
      </c>
      <c r="D155" s="1" t="n">
        <v>46041</v>
      </c>
      <c r="E155" s="1" t="n">
        <v>46311</v>
      </c>
      <c r="F155" t="inlineStr">
        <is>
          <t>SKÅNE LÄN</t>
        </is>
      </c>
      <c r="G155" t="inlineStr">
        <is>
          <t>HÖRBY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20595-2024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45436</v>
      </c>
      <c r="E156" s="1" t="n">
        <v>46311</v>
      </c>
      <c r="F156" t="inlineStr">
        <is>
          <t>SKÅNE LÄN</t>
        </is>
      </c>
      <c r="G156" t="inlineStr">
        <is>
          <t>HÖRBY</t>
        </is>
      </c>
      <c r="H156" t="inlineStr">
        <is>
          <t>Sveaskog</t>
        </is>
      </c>
      <c r="I156" t="n">
        <v>3.5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119-2023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44928</v>
      </c>
      <c r="E157" s="1" t="n">
        <v>46311</v>
      </c>
      <c r="F157" t="inlineStr">
        <is>
          <t>SKÅNE LÄN</t>
        </is>
      </c>
      <c r="G157" t="inlineStr">
        <is>
          <t>HÖRBY</t>
        </is>
      </c>
      <c r="I157" t="n">
        <v>0.8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43685-2022</t>
        </is>
      </c>
      <c r="B158" t="inlineStr">
        <is>
          <t>avverkningsanmälan</t>
        </is>
      </c>
      <c r="C158" t="inlineStr">
        <is>
          <t>Avverkning för annat ändamål</t>
        </is>
      </c>
      <c r="D158" s="1" t="n">
        <v>44837</v>
      </c>
      <c r="E158" s="1" t="n">
        <v>46311</v>
      </c>
      <c r="F158" t="inlineStr">
        <is>
          <t>SKÅNE LÄN</t>
        </is>
      </c>
      <c r="G158" t="inlineStr">
        <is>
          <t>HÖRBY</t>
        </is>
      </c>
      <c r="I158" t="n">
        <v>1.3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59284-2025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45988</v>
      </c>
      <c r="E159" s="1" t="n">
        <v>46311</v>
      </c>
      <c r="F159" t="inlineStr">
        <is>
          <t>SKÅNE LÄN</t>
        </is>
      </c>
      <c r="G159" t="inlineStr">
        <is>
          <t>HÖRBY</t>
        </is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24724-2024</t>
        </is>
      </c>
      <c r="B160" t="inlineStr">
        <is>
          <t>avverkningsanmälan</t>
        </is>
      </c>
      <c r="C160" t="inlineStr">
        <is>
          <t>Avverkning för annat ändamål</t>
        </is>
      </c>
      <c r="D160" s="1" t="n">
        <v>45460</v>
      </c>
      <c r="E160" s="1" t="n">
        <v>46311</v>
      </c>
      <c r="F160" t="inlineStr">
        <is>
          <t>SKÅNE LÄN</t>
        </is>
      </c>
      <c r="G160" t="inlineStr">
        <is>
          <t>HÖRBY</t>
        </is>
      </c>
      <c r="I160" t="n">
        <v>1.4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10500-2026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46076</v>
      </c>
      <c r="E161" s="1" t="n">
        <v>46311</v>
      </c>
      <c r="F161" t="inlineStr">
        <is>
          <t>SKÅNE LÄN</t>
        </is>
      </c>
      <c r="G161" t="inlineStr">
        <is>
          <t>HÖRBY</t>
        </is>
      </c>
      <c r="I161" t="n">
        <v>1.1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6558-2025</t>
        </is>
      </c>
      <c r="B162" t="inlineStr">
        <is>
          <t>avverkningsanmälan</t>
        </is>
      </c>
      <c r="C162" t="inlineStr">
        <is>
          <t>Avverkning för annat ändamål</t>
        </is>
      </c>
      <c r="D162" s="1" t="n">
        <v>45699</v>
      </c>
      <c r="E162" s="1" t="n">
        <v>46311</v>
      </c>
      <c r="F162" t="inlineStr">
        <is>
          <t>SKÅNE LÄN</t>
        </is>
      </c>
      <c r="G162" t="inlineStr">
        <is>
          <t>HÖRBY</t>
        </is>
      </c>
      <c r="H162" t="inlineStr">
        <is>
          <t>Kommuner</t>
        </is>
      </c>
      <c r="I162" t="n">
        <v>0.9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34147-2025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45845</v>
      </c>
      <c r="E163" s="1" t="n">
        <v>46311</v>
      </c>
      <c r="F163" t="inlineStr">
        <is>
          <t>SKÅNE LÄN</t>
        </is>
      </c>
      <c r="G163" t="inlineStr">
        <is>
          <t>HÖRBY</t>
        </is>
      </c>
      <c r="I163" t="n">
        <v>18.7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16518-2026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46112</v>
      </c>
      <c r="E164" s="1" t="n">
        <v>46311</v>
      </c>
      <c r="F164" t="inlineStr">
        <is>
          <t>SKÅNE LÄN</t>
        </is>
      </c>
      <c r="G164" t="inlineStr">
        <is>
          <t>HÖRBY</t>
        </is>
      </c>
      <c r="I164" t="n">
        <v>0.8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2747-2023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44944</v>
      </c>
      <c r="E165" s="1" t="n">
        <v>46311</v>
      </c>
      <c r="F165" t="inlineStr">
        <is>
          <t>SKÅNE LÄN</t>
        </is>
      </c>
      <c r="G165" t="inlineStr">
        <is>
          <t>HÖRBY</t>
        </is>
      </c>
      <c r="H165" t="inlineStr">
        <is>
          <t>Sveaskog</t>
        </is>
      </c>
      <c r="I165" t="n">
        <v>4.6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31522-2022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44775</v>
      </c>
      <c r="E166" s="1" t="n">
        <v>46311</v>
      </c>
      <c r="F166" t="inlineStr">
        <is>
          <t>SKÅNE LÄN</t>
        </is>
      </c>
      <c r="G166" t="inlineStr">
        <is>
          <t>HÖRBY</t>
        </is>
      </c>
      <c r="I166" t="n">
        <v>1.8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29138-2026</t>
        </is>
      </c>
      <c r="B167" t="inlineStr">
        <is>
          <t>avverkningsanmälan</t>
        </is>
      </c>
      <c r="C167" t="inlineStr">
        <is>
          <t>Avverkning för att bevara och utveckla /försöksver</t>
        </is>
      </c>
      <c r="D167" s="1" t="n">
        <v>46202</v>
      </c>
      <c r="E167" s="1" t="n">
        <v>46311</v>
      </c>
      <c r="F167" t="inlineStr">
        <is>
          <t>SKÅNE LÄN</t>
        </is>
      </c>
      <c r="G167" t="inlineStr">
        <is>
          <t>HÖRBY</t>
        </is>
      </c>
      <c r="H167" t="inlineStr">
        <is>
          <t>Sveaskog</t>
        </is>
      </c>
      <c r="I167" t="n">
        <v>4.2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29135-2026</t>
        </is>
      </c>
      <c r="B168" t="inlineStr">
        <is>
          <t>avverkningsanmälan</t>
        </is>
      </c>
      <c r="C168" t="inlineStr">
        <is>
          <t>Avverkning för att bevara och utveckla /försöksver</t>
        </is>
      </c>
      <c r="D168" s="1" t="n">
        <v>46202</v>
      </c>
      <c r="E168" s="1" t="n">
        <v>46311</v>
      </c>
      <c r="F168" t="inlineStr">
        <is>
          <t>SKÅNE LÄN</t>
        </is>
      </c>
      <c r="G168" t="inlineStr">
        <is>
          <t>HÖRBY</t>
        </is>
      </c>
      <c r="H168" t="inlineStr">
        <is>
          <t>Sveaskog</t>
        </is>
      </c>
      <c r="I168" t="n">
        <v>4.7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29137-2026</t>
        </is>
      </c>
      <c r="B169" t="inlineStr">
        <is>
          <t>avverkningsanmälan</t>
        </is>
      </c>
      <c r="C169" t="inlineStr">
        <is>
          <t>Avverkning för att bevara och utveckla /försöksver</t>
        </is>
      </c>
      <c r="D169" s="1" t="n">
        <v>46202</v>
      </c>
      <c r="E169" s="1" t="n">
        <v>46311</v>
      </c>
      <c r="F169" t="inlineStr">
        <is>
          <t>SKÅNE LÄN</t>
        </is>
      </c>
      <c r="G169" t="inlineStr">
        <is>
          <t>HÖRBY</t>
        </is>
      </c>
      <c r="H169" t="inlineStr">
        <is>
          <t>Sveaskog</t>
        </is>
      </c>
      <c r="I169" t="n">
        <v>7.8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55265-2023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45237</v>
      </c>
      <c r="E170" s="1" t="n">
        <v>46311</v>
      </c>
      <c r="F170" t="inlineStr">
        <is>
          <t>SKÅNE LÄN</t>
        </is>
      </c>
      <c r="G170" t="inlineStr">
        <is>
          <t>HÖRBY</t>
        </is>
      </c>
      <c r="I170" t="n">
        <v>1.2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29124-2026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46202</v>
      </c>
      <c r="E171" s="1" t="n">
        <v>46311</v>
      </c>
      <c r="F171" t="inlineStr">
        <is>
          <t>SKÅNE LÄN</t>
        </is>
      </c>
      <c r="G171" t="inlineStr">
        <is>
          <t>HÖRBY</t>
        </is>
      </c>
      <c r="I171" t="n">
        <v>2.9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28918-2023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45104</v>
      </c>
      <c r="E172" s="1" t="n">
        <v>46311</v>
      </c>
      <c r="F172" t="inlineStr">
        <is>
          <t>SKÅNE LÄN</t>
        </is>
      </c>
      <c r="G172" t="inlineStr">
        <is>
          <t>HÖRBY</t>
        </is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3239-2023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44946</v>
      </c>
      <c r="E173" s="1" t="n">
        <v>46311</v>
      </c>
      <c r="F173" t="inlineStr">
        <is>
          <t>SKÅNE LÄN</t>
        </is>
      </c>
      <c r="G173" t="inlineStr">
        <is>
          <t>HÖRBY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13228-2024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45386</v>
      </c>
      <c r="E174" s="1" t="n">
        <v>46311</v>
      </c>
      <c r="F174" t="inlineStr">
        <is>
          <t>SKÅNE LÄN</t>
        </is>
      </c>
      <c r="G174" t="inlineStr">
        <is>
          <t>HÖRBY</t>
        </is>
      </c>
      <c r="I174" t="n">
        <v>0.7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48427-2022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44858</v>
      </c>
      <c r="E175" s="1" t="n">
        <v>46311</v>
      </c>
      <c r="F175" t="inlineStr">
        <is>
          <t>SKÅNE LÄN</t>
        </is>
      </c>
      <c r="G175" t="inlineStr">
        <is>
          <t>HÖRBY</t>
        </is>
      </c>
      <c r="H175" t="inlineStr">
        <is>
          <t>Sveaskog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51757-2025</t>
        </is>
      </c>
      <c r="B176" t="inlineStr">
        <is>
          <t>avverkningsanmälan</t>
        </is>
      </c>
      <c r="C176" t="inlineStr">
        <is>
          <t>Avverkning för att bevara och utveckla /försöksver</t>
        </is>
      </c>
      <c r="D176" s="1" t="n">
        <v>45951</v>
      </c>
      <c r="E176" s="1" t="n">
        <v>46311</v>
      </c>
      <c r="F176" t="inlineStr">
        <is>
          <t>SKÅNE LÄN</t>
        </is>
      </c>
      <c r="G176" t="inlineStr">
        <is>
          <t>HÖRBY</t>
        </is>
      </c>
      <c r="H176" t="inlineStr">
        <is>
          <t>Sveaskog</t>
        </is>
      </c>
      <c r="I176" t="n">
        <v>1.3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4756-2025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45688</v>
      </c>
      <c r="E177" s="1" t="n">
        <v>46311</v>
      </c>
      <c r="F177" t="inlineStr">
        <is>
          <t>SKÅNE LÄN</t>
        </is>
      </c>
      <c r="G177" t="inlineStr">
        <is>
          <t>HÖRBY</t>
        </is>
      </c>
      <c r="I177" t="n">
        <v>0.9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30934-2026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46213</v>
      </c>
      <c r="E178" s="1" t="n">
        <v>46311</v>
      </c>
      <c r="F178" t="inlineStr">
        <is>
          <t>SKÅNE LÄN</t>
        </is>
      </c>
      <c r="G178" t="inlineStr">
        <is>
          <t>HÖRBY</t>
        </is>
      </c>
      <c r="I178" t="n">
        <v>1.1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52929-2025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45957</v>
      </c>
      <c r="E179" s="1" t="n">
        <v>46311</v>
      </c>
      <c r="F179" t="inlineStr">
        <is>
          <t>SKÅNE LÄN</t>
        </is>
      </c>
      <c r="G179" t="inlineStr">
        <is>
          <t>HÖRBY</t>
        </is>
      </c>
      <c r="H179" t="inlineStr">
        <is>
          <t>Sveaskog</t>
        </is>
      </c>
      <c r="I179" t="n">
        <v>8.300000000000001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33358-2023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45128</v>
      </c>
      <c r="E180" s="1" t="n">
        <v>46311</v>
      </c>
      <c r="F180" t="inlineStr">
        <is>
          <t>SKÅNE LÄN</t>
        </is>
      </c>
      <c r="G180" t="inlineStr">
        <is>
          <t>HÖRBY</t>
        </is>
      </c>
      <c r="I180" t="n">
        <v>0.4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23606-2026</t>
        </is>
      </c>
      <c r="B181" t="inlineStr">
        <is>
          <t>avverkningsanmälan</t>
        </is>
      </c>
      <c r="C181" t="inlineStr">
        <is>
          <t>Avverkning för annat ändamål</t>
        </is>
      </c>
      <c r="D181" s="1" t="n">
        <v>46162</v>
      </c>
      <c r="E181" s="1" t="n">
        <v>46311</v>
      </c>
      <c r="F181" t="inlineStr">
        <is>
          <t>SKÅNE LÄN</t>
        </is>
      </c>
      <c r="G181" t="inlineStr">
        <is>
          <t>HÖRBY</t>
        </is>
      </c>
      <c r="I181" t="n">
        <v>9.4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31286-2026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46218</v>
      </c>
      <c r="E182" s="1" t="n">
        <v>46311</v>
      </c>
      <c r="F182" t="inlineStr">
        <is>
          <t>SKÅNE LÄN</t>
        </is>
      </c>
      <c r="G182" t="inlineStr">
        <is>
          <t>HÖRBY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52930-2025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45957</v>
      </c>
      <c r="E183" s="1" t="n">
        <v>46311</v>
      </c>
      <c r="F183" t="inlineStr">
        <is>
          <t>SKÅNE LÄN</t>
        </is>
      </c>
      <c r="G183" t="inlineStr">
        <is>
          <t>HÖRBY</t>
        </is>
      </c>
      <c r="H183" t="inlineStr">
        <is>
          <t>Sveaskog</t>
        </is>
      </c>
      <c r="I183" t="n">
        <v>1.6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55307-2025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45970</v>
      </c>
      <c r="E184" s="1" t="n">
        <v>46311</v>
      </c>
      <c r="F184" t="inlineStr">
        <is>
          <t>SKÅNE LÄN</t>
        </is>
      </c>
      <c r="G184" t="inlineStr">
        <is>
          <t>HÖRBY</t>
        </is>
      </c>
      <c r="I184" t="n">
        <v>2.5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39507-2024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45551</v>
      </c>
      <c r="E185" s="1" t="n">
        <v>46311</v>
      </c>
      <c r="F185" t="inlineStr">
        <is>
          <t>SKÅNE LÄN</t>
        </is>
      </c>
      <c r="G185" t="inlineStr">
        <is>
          <t>HÖRBY</t>
        </is>
      </c>
      <c r="H185" t="inlineStr">
        <is>
          <t>Sveaskog</t>
        </is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41940-2022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44833</v>
      </c>
      <c r="E186" s="1" t="n">
        <v>46311</v>
      </c>
      <c r="F186" t="inlineStr">
        <is>
          <t>SKÅNE LÄN</t>
        </is>
      </c>
      <c r="G186" t="inlineStr">
        <is>
          <t>HÖRBY</t>
        </is>
      </c>
      <c r="I186" t="n">
        <v>0.7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43882-2023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45187</v>
      </c>
      <c r="E187" s="1" t="n">
        <v>46311</v>
      </c>
      <c r="F187" t="inlineStr">
        <is>
          <t>SKÅNE LÄN</t>
        </is>
      </c>
      <c r="G187" t="inlineStr">
        <is>
          <t>HÖRBY</t>
        </is>
      </c>
      <c r="H187" t="inlineStr">
        <is>
          <t>Sveaskog</t>
        </is>
      </c>
      <c r="I187" t="n">
        <v>1.2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57017-2025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45978</v>
      </c>
      <c r="E188" s="1" t="n">
        <v>46311</v>
      </c>
      <c r="F188" t="inlineStr">
        <is>
          <t>SKÅNE LÄN</t>
        </is>
      </c>
      <c r="G188" t="inlineStr">
        <is>
          <t>HÖRBY</t>
        </is>
      </c>
      <c r="I188" t="n">
        <v>5.5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28527-2023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45103</v>
      </c>
      <c r="E189" s="1" t="n">
        <v>46311</v>
      </c>
      <c r="F189" t="inlineStr">
        <is>
          <t>SKÅNE LÄN</t>
        </is>
      </c>
      <c r="G189" t="inlineStr">
        <is>
          <t>HÖRBY</t>
        </is>
      </c>
      <c r="I189" t="n">
        <v>0.7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19420-2022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44693</v>
      </c>
      <c r="E190" s="1" t="n">
        <v>46311</v>
      </c>
      <c r="F190" t="inlineStr">
        <is>
          <t>SKÅNE LÄN</t>
        </is>
      </c>
      <c r="G190" t="inlineStr">
        <is>
          <t>HÖRBY</t>
        </is>
      </c>
      <c r="I190" t="n">
        <v>0.7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54765-2025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45966</v>
      </c>
      <c r="E191" s="1" t="n">
        <v>46311</v>
      </c>
      <c r="F191" t="inlineStr">
        <is>
          <t>SKÅNE LÄN</t>
        </is>
      </c>
      <c r="G191" t="inlineStr">
        <is>
          <t>HÖRBY</t>
        </is>
      </c>
      <c r="I191" t="n">
        <v>2.6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38073-2026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46280</v>
      </c>
      <c r="E192" s="1" t="n">
        <v>46311</v>
      </c>
      <c r="F192" t="inlineStr">
        <is>
          <t>SKÅNE LÄN</t>
        </is>
      </c>
      <c r="G192" t="inlineStr">
        <is>
          <t>HÖRBY</t>
        </is>
      </c>
      <c r="I192" t="n">
        <v>2.3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40994-2025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45898</v>
      </c>
      <c r="E193" s="1" t="n">
        <v>46311</v>
      </c>
      <c r="F193" t="inlineStr">
        <is>
          <t>SKÅNE LÄN</t>
        </is>
      </c>
      <c r="G193" t="inlineStr">
        <is>
          <t>HÖRBY</t>
        </is>
      </c>
      <c r="I193" t="n">
        <v>5.6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55304-2025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45970</v>
      </c>
      <c r="E194" s="1" t="n">
        <v>46311</v>
      </c>
      <c r="F194" t="inlineStr">
        <is>
          <t>SKÅNE LÄN</t>
        </is>
      </c>
      <c r="G194" t="inlineStr">
        <is>
          <t>HÖRBY</t>
        </is>
      </c>
      <c r="I194" t="n">
        <v>0.4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55306-2025</t>
        </is>
      </c>
      <c r="B195" t="inlineStr">
        <is>
          <t>avverkningsanmälan</t>
        </is>
      </c>
      <c r="C195" t="inlineStr">
        <is>
          <t>Avverkning för annat ändamål</t>
        </is>
      </c>
      <c r="D195" s="1" t="n">
        <v>45970</v>
      </c>
      <c r="E195" s="1" t="n">
        <v>46311</v>
      </c>
      <c r="F195" t="inlineStr">
        <is>
          <t>SKÅNE LÄN</t>
        </is>
      </c>
      <c r="G195" t="inlineStr">
        <is>
          <t>HÖRBY</t>
        </is>
      </c>
      <c r="I195" t="n">
        <v>0.3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38936-2026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46286</v>
      </c>
      <c r="E196" s="1" t="n">
        <v>46311</v>
      </c>
      <c r="F196" t="inlineStr">
        <is>
          <t>SKÅNE LÄN</t>
        </is>
      </c>
      <c r="G196" t="inlineStr">
        <is>
          <t>HÖRBY</t>
        </is>
      </c>
      <c r="H196" t="inlineStr">
        <is>
          <t>Sveaskog</t>
        </is>
      </c>
      <c r="I196" t="n">
        <v>1.4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38948-2026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46286</v>
      </c>
      <c r="E197" s="1" t="n">
        <v>46311</v>
      </c>
      <c r="F197" t="inlineStr">
        <is>
          <t>SKÅNE LÄN</t>
        </is>
      </c>
      <c r="G197" t="inlineStr">
        <is>
          <t>HÖRBY</t>
        </is>
      </c>
      <c r="H197" t="inlineStr">
        <is>
          <t>Sveaskog</t>
        </is>
      </c>
      <c r="I197" t="n">
        <v>1.5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38906-2026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46286</v>
      </c>
      <c r="E198" s="1" t="n">
        <v>46311</v>
      </c>
      <c r="F198" t="inlineStr">
        <is>
          <t>SKÅNE LÄN</t>
        </is>
      </c>
      <c r="G198" t="inlineStr">
        <is>
          <t>HÖRBY</t>
        </is>
      </c>
      <c r="H198" t="inlineStr">
        <is>
          <t>Sveaskog</t>
        </is>
      </c>
      <c r="I198" t="n">
        <v>3.1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37300-2026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46274</v>
      </c>
      <c r="E199" s="1" t="n">
        <v>46311</v>
      </c>
      <c r="F199" t="inlineStr">
        <is>
          <t>SKÅNE LÄN</t>
        </is>
      </c>
      <c r="G199" t="inlineStr">
        <is>
          <t>HÖRBY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20047-2026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46136</v>
      </c>
      <c r="E200" s="1" t="n">
        <v>46311</v>
      </c>
      <c r="F200" t="inlineStr">
        <is>
          <t>SKÅNE LÄN</t>
        </is>
      </c>
      <c r="G200" t="inlineStr">
        <is>
          <t>HÖRBY</t>
        </is>
      </c>
      <c r="I200" t="n">
        <v>1.1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47641-2023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45203</v>
      </c>
      <c r="E201" s="1" t="n">
        <v>46311</v>
      </c>
      <c r="F201" t="inlineStr">
        <is>
          <t>SKÅNE LÄN</t>
        </is>
      </c>
      <c r="G201" t="inlineStr">
        <is>
          <t>HÖRBY</t>
        </is>
      </c>
      <c r="I201" t="n">
        <v>4.8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38824-2026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46286</v>
      </c>
      <c r="E202" s="1" t="n">
        <v>46311</v>
      </c>
      <c r="F202" t="inlineStr">
        <is>
          <t>SKÅNE LÄN</t>
        </is>
      </c>
      <c r="G202" t="inlineStr">
        <is>
          <t>HÖRBY</t>
        </is>
      </c>
      <c r="H202" t="inlineStr">
        <is>
          <t>Sveaskog</t>
        </is>
      </c>
      <c r="I202" t="n">
        <v>11.2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57269-2025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45979</v>
      </c>
      <c r="E203" s="1" t="n">
        <v>46311</v>
      </c>
      <c r="F203" t="inlineStr">
        <is>
          <t>SKÅNE LÄN</t>
        </is>
      </c>
      <c r="G203" t="inlineStr">
        <is>
          <t>HÖRBY</t>
        </is>
      </c>
      <c r="H203" t="inlineStr">
        <is>
          <t>Sveaskog</t>
        </is>
      </c>
      <c r="I203" t="n">
        <v>5.5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60963-2023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45261</v>
      </c>
      <c r="E204" s="1" t="n">
        <v>46311</v>
      </c>
      <c r="F204" t="inlineStr">
        <is>
          <t>SKÅNE LÄN</t>
        </is>
      </c>
      <c r="G204" t="inlineStr">
        <is>
          <t>HÖRBY</t>
        </is>
      </c>
      <c r="I204" t="n">
        <v>1.2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39481-2026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46289</v>
      </c>
      <c r="E205" s="1" t="n">
        <v>46311</v>
      </c>
      <c r="F205" t="inlineStr">
        <is>
          <t>SKÅNE LÄN</t>
        </is>
      </c>
      <c r="G205" t="inlineStr">
        <is>
          <t>HÖRBY</t>
        </is>
      </c>
      <c r="I205" t="n">
        <v>2.3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59308-2025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45989</v>
      </c>
      <c r="E206" s="1" t="n">
        <v>46311</v>
      </c>
      <c r="F206" t="inlineStr">
        <is>
          <t>SKÅNE LÄN</t>
        </is>
      </c>
      <c r="G206" t="inlineStr">
        <is>
          <t>HÖRBY</t>
        </is>
      </c>
      <c r="I206" t="n">
        <v>1.2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52310-2023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45224</v>
      </c>
      <c r="E207" s="1" t="n">
        <v>46311</v>
      </c>
      <c r="F207" t="inlineStr">
        <is>
          <t>SKÅNE LÄN</t>
        </is>
      </c>
      <c r="G207" t="inlineStr">
        <is>
          <t>HÖRBY</t>
        </is>
      </c>
      <c r="I207" t="n">
        <v>3.5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2170-2025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45673</v>
      </c>
      <c r="E208" s="1" t="n">
        <v>46311</v>
      </c>
      <c r="F208" t="inlineStr">
        <is>
          <t>SKÅNE LÄN</t>
        </is>
      </c>
      <c r="G208" t="inlineStr">
        <is>
          <t>HÖRBY</t>
        </is>
      </c>
      <c r="I208" t="n">
        <v>3.6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62277-2025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46006</v>
      </c>
      <c r="E209" s="1" t="n">
        <v>46311</v>
      </c>
      <c r="F209" t="inlineStr">
        <is>
          <t>SKÅNE LÄN</t>
        </is>
      </c>
      <c r="G209" t="inlineStr">
        <is>
          <t>HÖRBY</t>
        </is>
      </c>
      <c r="I209" t="n">
        <v>2.4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41727-2026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46302</v>
      </c>
      <c r="E210" s="1" t="n">
        <v>46311</v>
      </c>
      <c r="F210" t="inlineStr">
        <is>
          <t>SKÅNE LÄN</t>
        </is>
      </c>
      <c r="G210" t="inlineStr">
        <is>
          <t>HÖRBY</t>
        </is>
      </c>
      <c r="H210" t="inlineStr">
        <is>
          <t>Sveaskog</t>
        </is>
      </c>
      <c r="I210" t="n">
        <v>13.1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34740-2026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46258</v>
      </c>
      <c r="E211" s="1" t="n">
        <v>46311</v>
      </c>
      <c r="F211" t="inlineStr">
        <is>
          <t>SKÅNE LÄN</t>
        </is>
      </c>
      <c r="G211" t="inlineStr">
        <is>
          <t>HÖRBY</t>
        </is>
      </c>
      <c r="I211" t="n">
        <v>2.1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34737-2026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46258</v>
      </c>
      <c r="E212" s="1" t="n">
        <v>46311</v>
      </c>
      <c r="F212" t="inlineStr">
        <is>
          <t>SKÅNE LÄN</t>
        </is>
      </c>
      <c r="G212" t="inlineStr">
        <is>
          <t>HÖRBY</t>
        </is>
      </c>
      <c r="I212" t="n">
        <v>0.7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16665-2025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45754</v>
      </c>
      <c r="E213" s="1" t="n">
        <v>46311</v>
      </c>
      <c r="F213" t="inlineStr">
        <is>
          <t>SKÅNE LÄN</t>
        </is>
      </c>
      <c r="G213" t="inlineStr">
        <is>
          <t>HÖRBY</t>
        </is>
      </c>
      <c r="I213" t="n">
        <v>2.4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826-2026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46030</v>
      </c>
      <c r="E214" s="1" t="n">
        <v>46311</v>
      </c>
      <c r="F214" t="inlineStr">
        <is>
          <t>SKÅNE LÄN</t>
        </is>
      </c>
      <c r="G214" t="inlineStr">
        <is>
          <t>HÖRBY</t>
        </is>
      </c>
      <c r="H214" t="inlineStr">
        <is>
          <t>Sveaskog</t>
        </is>
      </c>
      <c r="I214" t="n">
        <v>0.3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829-2026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46030</v>
      </c>
      <c r="E215" s="1" t="n">
        <v>46311</v>
      </c>
      <c r="F215" t="inlineStr">
        <is>
          <t>SKÅNE LÄN</t>
        </is>
      </c>
      <c r="G215" t="inlineStr">
        <is>
          <t>HÖRBY</t>
        </is>
      </c>
      <c r="H215" t="inlineStr">
        <is>
          <t>Sveaskog</t>
        </is>
      </c>
      <c r="I215" t="n">
        <v>6.9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821-2026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46030</v>
      </c>
      <c r="E216" s="1" t="n">
        <v>46311</v>
      </c>
      <c r="F216" t="inlineStr">
        <is>
          <t>SKÅNE LÄN</t>
        </is>
      </c>
      <c r="G216" t="inlineStr">
        <is>
          <t>HÖRBY</t>
        </is>
      </c>
      <c r="H216" t="inlineStr">
        <is>
          <t>Sveaskog</t>
        </is>
      </c>
      <c r="I216" t="n">
        <v>4.3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554-2026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46029</v>
      </c>
      <c r="E217" s="1" t="n">
        <v>46311</v>
      </c>
      <c r="F217" t="inlineStr">
        <is>
          <t>SKÅNE LÄN</t>
        </is>
      </c>
      <c r="G217" t="inlineStr">
        <is>
          <t>HÖRBY</t>
        </is>
      </c>
      <c r="I217" t="n">
        <v>0.8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38730-2026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46285</v>
      </c>
      <c r="E218" s="1" t="n">
        <v>46311</v>
      </c>
      <c r="F218" t="inlineStr">
        <is>
          <t>SKÅNE LÄN</t>
        </is>
      </c>
      <c r="G218" t="inlineStr">
        <is>
          <t>HÖRBY</t>
        </is>
      </c>
      <c r="I218" t="n">
        <v>0.4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1989-2026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46035</v>
      </c>
      <c r="E219" s="1" t="n">
        <v>46311</v>
      </c>
      <c r="F219" t="inlineStr">
        <is>
          <t>SKÅNE LÄN</t>
        </is>
      </c>
      <c r="G219" t="inlineStr">
        <is>
          <t>HÖRBY</t>
        </is>
      </c>
      <c r="I219" t="n">
        <v>2.5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3013-2026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46038</v>
      </c>
      <c r="E220" s="1" t="n">
        <v>46311</v>
      </c>
      <c r="F220" t="inlineStr">
        <is>
          <t>SKÅNE LÄN</t>
        </is>
      </c>
      <c r="G220" t="inlineStr">
        <is>
          <t>HÖRBY</t>
        </is>
      </c>
      <c r="I220" t="n">
        <v>0.7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5374-2026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46050</v>
      </c>
      <c r="E221" s="1" t="n">
        <v>46311</v>
      </c>
      <c r="F221" t="inlineStr">
        <is>
          <t>SKÅNE LÄN</t>
        </is>
      </c>
      <c r="G221" t="inlineStr">
        <is>
          <t>HÖRBY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10524-2026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46076</v>
      </c>
      <c r="E222" s="1" t="n">
        <v>46311</v>
      </c>
      <c r="F222" t="inlineStr">
        <is>
          <t>SKÅNE LÄN</t>
        </is>
      </c>
      <c r="G222" t="inlineStr">
        <is>
          <t>HÖRBY</t>
        </is>
      </c>
      <c r="I222" t="n">
        <v>1.6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42950-2026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46310</v>
      </c>
      <c r="E223" s="1" t="n">
        <v>46311</v>
      </c>
      <c r="F223" t="inlineStr">
        <is>
          <t>SKÅNE LÄN</t>
        </is>
      </c>
      <c r="G223" t="inlineStr">
        <is>
          <t>HÖRBY</t>
        </is>
      </c>
      <c r="I223" t="n">
        <v>1.9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8310-2026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46064</v>
      </c>
      <c r="E224" s="1" t="n">
        <v>46311</v>
      </c>
      <c r="F224" t="inlineStr">
        <is>
          <t>SKÅNE LÄN</t>
        </is>
      </c>
      <c r="G224" t="inlineStr">
        <is>
          <t>HÖRBY</t>
        </is>
      </c>
      <c r="I224" t="n">
        <v>1.4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8260-2026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46064</v>
      </c>
      <c r="E225" s="1" t="n">
        <v>46311</v>
      </c>
      <c r="F225" t="inlineStr">
        <is>
          <t>SKÅNE LÄN</t>
        </is>
      </c>
      <c r="G225" t="inlineStr">
        <is>
          <t>HÖRBY</t>
        </is>
      </c>
      <c r="I225" t="n">
        <v>3.3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8259-2026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46064</v>
      </c>
      <c r="E226" s="1" t="n">
        <v>46311</v>
      </c>
      <c r="F226" t="inlineStr">
        <is>
          <t>SKÅNE LÄN</t>
        </is>
      </c>
      <c r="G226" t="inlineStr">
        <is>
          <t>HÖRBY</t>
        </is>
      </c>
      <c r="I226" t="n">
        <v>3.1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10731-2026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46078</v>
      </c>
      <c r="E227" s="1" t="n">
        <v>46311</v>
      </c>
      <c r="F227" t="inlineStr">
        <is>
          <t>SKÅNE LÄN</t>
        </is>
      </c>
      <c r="G227" t="inlineStr">
        <is>
          <t>HÖRBY</t>
        </is>
      </c>
      <c r="H227" t="inlineStr">
        <is>
          <t>Kyrkan</t>
        </is>
      </c>
      <c r="I227" t="n">
        <v>4.8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S 3888-2023</t>
        </is>
      </c>
      <c r="B228" t="inlineStr">
        <is>
          <t>samrådsanmälan</t>
        </is>
      </c>
      <c r="C228" t="inlineStr">
        <is>
          <t>Askåterföring</t>
        </is>
      </c>
      <c r="D228" s="1" t="n">
        <v>45230</v>
      </c>
      <c r="E228" s="1" t="n">
        <v>46311</v>
      </c>
      <c r="F228" t="inlineStr">
        <is>
          <t>SKÅNE LÄN</t>
        </is>
      </c>
      <c r="G228" t="inlineStr">
        <is>
          <t>HÖRBY</t>
        </is>
      </c>
      <c r="I228" t="n">
        <v>13.9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S 4691-2022</t>
        </is>
      </c>
      <c r="B229" t="inlineStr">
        <is>
          <t>samrådsanmälan</t>
        </is>
      </c>
      <c r="C229" t="inlineStr">
        <is>
          <t>Askåterföring</t>
        </is>
      </c>
      <c r="D229" s="1" t="n">
        <v>44796</v>
      </c>
      <c r="E229" s="1" t="n">
        <v>46311</v>
      </c>
      <c r="F229" t="inlineStr">
        <is>
          <t>SKÅNE LÄN</t>
        </is>
      </c>
      <c r="G229" t="inlineStr">
        <is>
          <t>HÖRBY</t>
        </is>
      </c>
      <c r="I229" t="n">
        <v>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S 734-2025</t>
        </is>
      </c>
      <c r="B230" t="inlineStr">
        <is>
          <t>samrådsanmälan</t>
        </is>
      </c>
      <c r="C230" t="inlineStr">
        <is>
          <t>Askåterföring</t>
        </is>
      </c>
      <c r="D230" s="1" t="n">
        <v>45722</v>
      </c>
      <c r="E230" s="1" t="n">
        <v>46311</v>
      </c>
      <c r="F230" t="inlineStr">
        <is>
          <t>SKÅNE LÄN</t>
        </is>
      </c>
      <c r="G230" t="inlineStr">
        <is>
          <t>HÖRBY</t>
        </is>
      </c>
      <c r="I230" t="n">
        <v>27.4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S 144-2026</t>
        </is>
      </c>
      <c r="B231" t="inlineStr">
        <is>
          <t>samrådsanmälan</t>
        </is>
      </c>
      <c r="C231" t="inlineStr">
        <is>
          <t>Askåterföring</t>
        </is>
      </c>
      <c r="D231" s="1" t="n">
        <v>46042</v>
      </c>
      <c r="E231" s="1" t="n">
        <v>46311</v>
      </c>
      <c r="F231" t="inlineStr">
        <is>
          <t>SKÅNE LÄN</t>
        </is>
      </c>
      <c r="G231" t="inlineStr">
        <is>
          <t>HÖRBY</t>
        </is>
      </c>
      <c r="I231" t="n">
        <v>18.3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S 220-2026</t>
        </is>
      </c>
      <c r="B232" t="inlineStr">
        <is>
          <t>samrådsanmälan</t>
        </is>
      </c>
      <c r="C232" t="inlineStr">
        <is>
          <t>Annan skogsbruksåtgärd</t>
        </is>
      </c>
      <c r="D232" s="1" t="n">
        <v>46051</v>
      </c>
      <c r="E232" s="1" t="n">
        <v>46311</v>
      </c>
      <c r="F232" t="inlineStr">
        <is>
          <t>SKÅNE LÄN</t>
        </is>
      </c>
      <c r="G232" t="inlineStr">
        <is>
          <t>HÖRBY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S 1874-2026</t>
        </is>
      </c>
      <c r="B233" t="inlineStr">
        <is>
          <t>samrådsanmälan</t>
        </is>
      </c>
      <c r="C233" t="inlineStr">
        <is>
          <t>Annan skogsbruksåtgärd</t>
        </is>
      </c>
      <c r="D233" s="1" t="n">
        <v>46202</v>
      </c>
      <c r="E233" s="1" t="n">
        <v>46311</v>
      </c>
      <c r="F233" t="inlineStr">
        <is>
          <t>SKÅNE LÄN</t>
        </is>
      </c>
      <c r="G233" t="inlineStr">
        <is>
          <t>HÖRBY</t>
        </is>
      </c>
      <c r="H233" t="inlineStr">
        <is>
          <t>Sveaskog</t>
        </is>
      </c>
      <c r="I233" t="n">
        <v>7.8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S 1875-2026</t>
        </is>
      </c>
      <c r="B234" t="inlineStr">
        <is>
          <t>samrådsanmälan</t>
        </is>
      </c>
      <c r="C234" t="inlineStr">
        <is>
          <t>Annan skogsbruksåtgärd</t>
        </is>
      </c>
      <c r="D234" s="1" t="n">
        <v>46202</v>
      </c>
      <c r="E234" s="1" t="n">
        <v>46311</v>
      </c>
      <c r="F234" t="inlineStr">
        <is>
          <t>SKÅNE LÄN</t>
        </is>
      </c>
      <c r="G234" t="inlineStr">
        <is>
          <t>HÖRBY</t>
        </is>
      </c>
      <c r="H234" t="inlineStr">
        <is>
          <t>Sveaskog</t>
        </is>
      </c>
      <c r="I234" t="n">
        <v>4.2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>
      <c r="A235" t="inlineStr">
        <is>
          <t>S 1873-2026</t>
        </is>
      </c>
      <c r="B235" t="inlineStr">
        <is>
          <t>samrådsanmälan</t>
        </is>
      </c>
      <c r="C235" t="inlineStr">
        <is>
          <t>Annan skogsbruksåtgärd</t>
        </is>
      </c>
      <c r="D235" s="1" t="n">
        <v>46202</v>
      </c>
      <c r="E235" s="1" t="n">
        <v>46311</v>
      </c>
      <c r="F235" t="inlineStr">
        <is>
          <t>SKÅNE LÄN</t>
        </is>
      </c>
      <c r="G235" t="inlineStr">
        <is>
          <t>HÖRBY</t>
        </is>
      </c>
      <c r="H235" t="inlineStr">
        <is>
          <t>Sveaskog</t>
        </is>
      </c>
      <c r="I235" t="n">
        <v>4.7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2026-10-16T02:20:29Z</dcterms:created>
  <dcterms:modified xmlns:dcterms="http://purl.org/dc/terms/" xmlns:xsi="http://www.w3.org/2001/XMLSchema-instance" xsi:type="dcterms:W3CDTF">2026-10-16T02:20:29Z</dcterms:modified>
</cp:coreProperties>
</file>