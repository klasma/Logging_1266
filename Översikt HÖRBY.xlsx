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46265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46265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46265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46265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46265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46265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46265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46265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46265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46265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46265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46265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46265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46265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46265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46265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46265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46265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46265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46265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46265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46265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21713-2025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45783</v>
      </c>
      <c r="E24" s="1" t="n">
        <v>46265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Gröngöling</t>
        </is>
      </c>
      <c r="W24">
        <f>HYPERLINK("https://klasma.github.io/Logging_1266/artfynd/A 21713-2025 artfynd.xlsx", "A 21713-2025")</f>
        <v/>
      </c>
      <c r="X24">
        <f>HYPERLINK("https://klasma.github.io/Logging_1266/kartor/A 21713-2025 karta.png", "A 21713-2025")</f>
        <v/>
      </c>
      <c r="Y24">
        <f>HYPERLINK("https://klasma.github.io/Logging_1266/kartor_geotiff/A 21713-2025 georefererad karta.tif", "A 21713-2025")</f>
        <v/>
      </c>
      <c r="AA24">
        <f>HYPERLINK("https://klasma.github.io/Logging_1266/klagomål/A 21713-2025 FSC-klagomål.docx", "A 21713-2025")</f>
        <v/>
      </c>
      <c r="AB24">
        <f>HYPERLINK("https://klasma.github.io/Logging_1266/klagomålsmail/A 21713-2025 FSC-klagomål mail.docx", "A 21713-2025")</f>
        <v/>
      </c>
      <c r="AC24">
        <f>HYPERLINK("https://klasma.github.io/Logging_1266/tillsyn/A 21713-2025 tillsynsbegäran.docx", "A 21713-2025")</f>
        <v/>
      </c>
      <c r="AD24">
        <f>HYPERLINK("https://klasma.github.io/Logging_1266/tillsynsmail/A 21713-2025 tillsynsbegäran mail.docx", "A 21713-2025")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46265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46265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46265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46265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46265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46265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46265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46265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46265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46265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31284-2026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46265</v>
      </c>
      <c r="F35" t="inlineStr">
        <is>
          <t>SKÅNE LÄN</t>
        </is>
      </c>
      <c r="G35" t="inlineStr">
        <is>
          <t>HÖRBY</t>
        </is>
      </c>
      <c r="I35" t="n">
        <v>6.8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groda</t>
        </is>
      </c>
      <c r="W35">
        <f>HYPERLINK("https://klasma.github.io/Logging_1266/artfynd/A 31284-2026 artfynd.xlsx", "A 31284-2026")</f>
        <v/>
      </c>
      <c r="X35">
        <f>HYPERLINK("https://klasma.github.io/Logging_1266/kartor/A 31284-2026 karta.png", "A 31284-2026")</f>
        <v/>
      </c>
      <c r="Y35">
        <f>HYPERLINK("https://klasma.github.io/Logging_1266/kartor_geotiff/A 31284-2026 georefererad karta.tif", "A 31284-2026")</f>
        <v/>
      </c>
      <c r="AA35">
        <f>HYPERLINK("https://klasma.github.io/Logging_1266/klagomål/A 31284-2026 FSC-klagomål.docx", "A 31284-2026")</f>
        <v/>
      </c>
      <c r="AB35">
        <f>HYPERLINK("https://klasma.github.io/Logging_1266/klagomålsmail/A 31284-2026 FSC-klagomål mail.docx", "A 31284-2026")</f>
        <v/>
      </c>
      <c r="AC35">
        <f>HYPERLINK("https://klasma.github.io/Logging_1266/tillsyn/A 31284-2026 tillsynsbegäran.docx", "A 31284-2026")</f>
        <v/>
      </c>
      <c r="AD35">
        <f>HYPERLINK("https://klasma.github.io/Logging_1266/tillsynsmail/A 31284-2026 tillsynsbegäran mail.docx", "A 31284-2026")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46265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46265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46265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46265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46265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46265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46265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46265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46265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46265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46265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46265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46265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46265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46265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46265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46265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51757-2025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45951</v>
      </c>
      <c r="E53" s="1" t="n">
        <v>46265</v>
      </c>
      <c r="F53" t="inlineStr">
        <is>
          <t>SKÅNE LÄN</t>
        </is>
      </c>
      <c r="G53" t="inlineStr">
        <is>
          <t>HÖRBY</t>
        </is>
      </c>
      <c r="H53" t="inlineStr">
        <is>
          <t>Sveaskog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46265</v>
      </c>
      <c r="F54" t="inlineStr">
        <is>
          <t>SKÅNE LÄN</t>
        </is>
      </c>
      <c r="G54" t="inlineStr">
        <is>
          <t>HÖRBY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46265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46265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46265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46265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46265</v>
      </c>
      <c r="F59" t="inlineStr">
        <is>
          <t>SKÅNE LÄN</t>
        </is>
      </c>
      <c r="G59" t="inlineStr">
        <is>
          <t>HÖRBY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56818-2022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46265</v>
      </c>
      <c r="F60" t="inlineStr">
        <is>
          <t>SKÅNE LÄN</t>
        </is>
      </c>
      <c r="G60" t="inlineStr">
        <is>
          <t>HÖRBY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54765-2025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45966</v>
      </c>
      <c r="E61" s="1" t="n">
        <v>46265</v>
      </c>
      <c r="F61" t="inlineStr">
        <is>
          <t>SKÅNE LÄN</t>
        </is>
      </c>
      <c r="G61" t="inlineStr">
        <is>
          <t>HÖRBY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45128</v>
      </c>
      <c r="E62" s="1" t="n">
        <v>46265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46265</v>
      </c>
      <c r="F63" t="inlineStr">
        <is>
          <t>SKÅNE LÄN</t>
        </is>
      </c>
      <c r="G63" t="inlineStr">
        <is>
          <t>HÖRBY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46265</v>
      </c>
      <c r="F64" t="inlineStr">
        <is>
          <t>SKÅNE LÄN</t>
        </is>
      </c>
      <c r="G64" t="inlineStr">
        <is>
          <t>HÖRBY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55304-2025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45970</v>
      </c>
      <c r="E65" s="1" t="n">
        <v>46265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55306-2025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45970</v>
      </c>
      <c r="E66" s="1" t="n">
        <v>46265</v>
      </c>
      <c r="F66" t="inlineStr">
        <is>
          <t>SKÅNE LÄN</t>
        </is>
      </c>
      <c r="G66" t="inlineStr">
        <is>
          <t>HÖRBY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36689-2024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45537</v>
      </c>
      <c r="E67" s="1" t="n">
        <v>46265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46265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46265</v>
      </c>
      <c r="F69" t="inlineStr">
        <is>
          <t>SKÅNE LÄN</t>
        </is>
      </c>
      <c r="G69" t="inlineStr">
        <is>
          <t>HÖRBY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37082-2023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45155</v>
      </c>
      <c r="E70" s="1" t="n">
        <v>46265</v>
      </c>
      <c r="F70" t="inlineStr">
        <is>
          <t>SKÅNE LÄN</t>
        </is>
      </c>
      <c r="G70" t="inlineStr">
        <is>
          <t>HÖRBY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46265</v>
      </c>
      <c r="F71" t="inlineStr">
        <is>
          <t>SKÅNE LÄN</t>
        </is>
      </c>
      <c r="G71" t="inlineStr">
        <is>
          <t>HÖRBY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34154-2025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45845</v>
      </c>
      <c r="E72" s="1" t="n">
        <v>46265</v>
      </c>
      <c r="F72" t="inlineStr">
        <is>
          <t>SKÅNE LÄN</t>
        </is>
      </c>
      <c r="G72" t="inlineStr">
        <is>
          <t>HÖRBY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46265</v>
      </c>
      <c r="F73" t="inlineStr">
        <is>
          <t>SKÅNE LÄN</t>
        </is>
      </c>
      <c r="G73" t="inlineStr">
        <is>
          <t>HÖRBY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45979</v>
      </c>
      <c r="E74" s="1" t="n">
        <v>46265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28785-2023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45104</v>
      </c>
      <c r="E75" s="1" t="n">
        <v>46265</v>
      </c>
      <c r="F75" t="inlineStr">
        <is>
          <t>SKÅNE LÄN</t>
        </is>
      </c>
      <c r="G75" t="inlineStr">
        <is>
          <t>HÖRBY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43711-2024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45569</v>
      </c>
      <c r="E76" s="1" t="n">
        <v>46265</v>
      </c>
      <c r="F76" t="inlineStr">
        <is>
          <t>SKÅNE LÄN</t>
        </is>
      </c>
      <c r="G76" t="inlineStr">
        <is>
          <t>HÖRBY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46265</v>
      </c>
      <c r="F77" t="inlineStr">
        <is>
          <t>SKÅNE LÄN</t>
        </is>
      </c>
      <c r="G77" t="inlineStr">
        <is>
          <t>HÖRBY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46265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46265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46265</v>
      </c>
      <c r="F80" t="inlineStr">
        <is>
          <t>SKÅNE LÄN</t>
        </is>
      </c>
      <c r="G80" t="inlineStr">
        <is>
          <t>HÖRBY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46265</v>
      </c>
      <c r="F81" t="inlineStr">
        <is>
          <t>SKÅNE LÄN</t>
        </is>
      </c>
      <c r="G81" t="inlineStr">
        <is>
          <t>HÖRBY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45405</v>
      </c>
      <c r="E82" s="1" t="n">
        <v>46265</v>
      </c>
      <c r="F82" t="inlineStr">
        <is>
          <t>SKÅNE LÄN</t>
        </is>
      </c>
      <c r="G82" t="inlineStr">
        <is>
          <t>HÖRBY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46265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46265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46265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46265</v>
      </c>
      <c r="F86" t="inlineStr">
        <is>
          <t>SKÅNE LÄN</t>
        </is>
      </c>
      <c r="G86" t="inlineStr">
        <is>
          <t>HÖRBY</t>
        </is>
      </c>
      <c r="I86" t="n">
        <v>18.7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29244-2025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46265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46265</v>
      </c>
      <c r="F88" t="inlineStr">
        <is>
          <t>SKÅNE LÄN</t>
        </is>
      </c>
      <c r="G88" t="inlineStr">
        <is>
          <t>HÖRBY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46265</v>
      </c>
      <c r="F89" t="inlineStr">
        <is>
          <t>SKÅNE LÄN</t>
        </is>
      </c>
      <c r="G89" t="inlineStr">
        <is>
          <t>HÖRBY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46265</v>
      </c>
      <c r="F90" t="inlineStr">
        <is>
          <t>SKÅNE LÄN</t>
        </is>
      </c>
      <c r="G90" t="inlineStr">
        <is>
          <t>HÖRBY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46265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46265</v>
      </c>
      <c r="F92" t="inlineStr">
        <is>
          <t>SKÅNE LÄN</t>
        </is>
      </c>
      <c r="G92" t="inlineStr">
        <is>
          <t>HÖRBY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46265</v>
      </c>
      <c r="F93" t="inlineStr">
        <is>
          <t>SKÅNE LÄN</t>
        </is>
      </c>
      <c r="G93" t="inlineStr">
        <is>
          <t>HÖRBY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45176</v>
      </c>
      <c r="E94" s="1" t="n">
        <v>46265</v>
      </c>
      <c r="F94" t="inlineStr">
        <is>
          <t>SKÅNE LÄN</t>
        </is>
      </c>
      <c r="G94" t="inlineStr">
        <is>
          <t>HÖRBY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46265</v>
      </c>
      <c r="F95" t="inlineStr">
        <is>
          <t>SKÅNE LÄN</t>
        </is>
      </c>
      <c r="G95" t="inlineStr">
        <is>
          <t>HÖRBY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46265</v>
      </c>
      <c r="F96" t="inlineStr">
        <is>
          <t>SKÅNE LÄN</t>
        </is>
      </c>
      <c r="G96" t="inlineStr">
        <is>
          <t>HÖRBY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46265</v>
      </c>
      <c r="F97" t="inlineStr">
        <is>
          <t>SKÅNE LÄN</t>
        </is>
      </c>
      <c r="G97" t="inlineStr">
        <is>
          <t>HÖRBY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46265</v>
      </c>
      <c r="F98" t="inlineStr">
        <is>
          <t>SKÅNE LÄN</t>
        </is>
      </c>
      <c r="G98" t="inlineStr">
        <is>
          <t>HÖRBY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58641-2023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45251</v>
      </c>
      <c r="E99" s="1" t="n">
        <v>46265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46265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45317</v>
      </c>
      <c r="E101" s="1" t="n">
        <v>46265</v>
      </c>
      <c r="F101" t="inlineStr">
        <is>
          <t>SKÅNE LÄN</t>
        </is>
      </c>
      <c r="G101" t="inlineStr">
        <is>
          <t>HÖRBY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46265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46265</v>
      </c>
      <c r="F103" t="inlineStr">
        <is>
          <t>SKÅNE LÄN</t>
        </is>
      </c>
      <c r="G103" t="inlineStr">
        <is>
          <t>HÖRBY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45868</v>
      </c>
      <c r="E104" s="1" t="n">
        <v>46265</v>
      </c>
      <c r="F104" t="inlineStr">
        <is>
          <t>SKÅNE LÄN</t>
        </is>
      </c>
      <c r="G104" t="inlineStr">
        <is>
          <t>HÖRBY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46265</v>
      </c>
      <c r="F105" t="inlineStr">
        <is>
          <t>SKÅNE LÄN</t>
        </is>
      </c>
      <c r="G105" t="inlineStr">
        <is>
          <t>HÖRBY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46265</v>
      </c>
      <c r="F106" t="inlineStr">
        <is>
          <t>SKÅNE LÄN</t>
        </is>
      </c>
      <c r="G106" t="inlineStr">
        <is>
          <t>HÖRBY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46265</v>
      </c>
      <c r="F107" t="inlineStr">
        <is>
          <t>SKÅNE LÄN</t>
        </is>
      </c>
      <c r="G107" t="inlineStr">
        <is>
          <t>HÖRBY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45677</v>
      </c>
      <c r="E108" s="1" t="n">
        <v>46265</v>
      </c>
      <c r="F108" t="inlineStr">
        <is>
          <t>SKÅNE LÄN</t>
        </is>
      </c>
      <c r="G108" t="inlineStr">
        <is>
          <t>HÖRBY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45750</v>
      </c>
      <c r="E109" s="1" t="n">
        <v>46265</v>
      </c>
      <c r="F109" t="inlineStr">
        <is>
          <t>SKÅNE LÄN</t>
        </is>
      </c>
      <c r="G109" t="inlineStr">
        <is>
          <t>HÖRBY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34422-2024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45525</v>
      </c>
      <c r="E110" s="1" t="n">
        <v>46265</v>
      </c>
      <c r="F110" t="inlineStr">
        <is>
          <t>SKÅNE LÄN</t>
        </is>
      </c>
      <c r="G110" t="inlineStr">
        <is>
          <t>HÖRBY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46265</v>
      </c>
      <c r="F111" t="inlineStr">
        <is>
          <t>SKÅNE LÄN</t>
        </is>
      </c>
      <c r="G111" t="inlineStr">
        <is>
          <t>HÖRBY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46265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46265</v>
      </c>
      <c r="F113" t="inlineStr">
        <is>
          <t>SKÅNE LÄN</t>
        </is>
      </c>
      <c r="G113" t="inlineStr">
        <is>
          <t>HÖRBY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46265</v>
      </c>
      <c r="F114" t="inlineStr">
        <is>
          <t>SKÅNE LÄN</t>
        </is>
      </c>
      <c r="G114" t="inlineStr">
        <is>
          <t>HÖRBY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67426-2021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44523</v>
      </c>
      <c r="E115" s="1" t="n">
        <v>46265</v>
      </c>
      <c r="F115" t="inlineStr">
        <is>
          <t>SKÅNE LÄN</t>
        </is>
      </c>
      <c r="G115" t="inlineStr">
        <is>
          <t>HÖRBY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45680</v>
      </c>
      <c r="E116" s="1" t="n">
        <v>46265</v>
      </c>
      <c r="F116" t="inlineStr">
        <is>
          <t>SKÅNE LÄN</t>
        </is>
      </c>
      <c r="G116" t="inlineStr">
        <is>
          <t>HÖRBY</t>
        </is>
      </c>
      <c r="H116" t="inlineStr">
        <is>
          <t>Kyrkan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46265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45043</v>
      </c>
      <c r="E118" s="1" t="n">
        <v>46265</v>
      </c>
      <c r="F118" t="inlineStr">
        <is>
          <t>SKÅNE LÄN</t>
        </is>
      </c>
      <c r="G118" t="inlineStr">
        <is>
          <t>HÖRBY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46030</v>
      </c>
      <c r="E119" s="1" t="n">
        <v>46265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46265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46265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46265</v>
      </c>
      <c r="F122" t="inlineStr">
        <is>
          <t>SKÅNE LÄN</t>
        </is>
      </c>
      <c r="G122" t="inlineStr">
        <is>
          <t>HÖRBY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46265</v>
      </c>
      <c r="F123" t="inlineStr">
        <is>
          <t>SKÅNE LÄN</t>
        </is>
      </c>
      <c r="G123" t="inlineStr">
        <is>
          <t>HÖRBY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46265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46265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46265</v>
      </c>
      <c r="F126" t="inlineStr">
        <is>
          <t>SKÅNE LÄN</t>
        </is>
      </c>
      <c r="G126" t="inlineStr">
        <is>
          <t>HÖRBY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46265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44608</v>
      </c>
      <c r="E128" s="1" t="n">
        <v>46265</v>
      </c>
      <c r="F128" t="inlineStr">
        <is>
          <t>SKÅNE LÄN</t>
        </is>
      </c>
      <c r="G128" t="inlineStr">
        <is>
          <t>HÖRBY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46265</v>
      </c>
      <c r="F129" t="inlineStr">
        <is>
          <t>SKÅNE LÄN</t>
        </is>
      </c>
      <c r="G129" t="inlineStr">
        <is>
          <t>HÖRBY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46265</v>
      </c>
      <c r="F130" t="inlineStr">
        <is>
          <t>SKÅNE LÄN</t>
        </is>
      </c>
      <c r="G130" t="inlineStr">
        <is>
          <t>HÖRBY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46064</v>
      </c>
      <c r="E131" s="1" t="n">
        <v>46265</v>
      </c>
      <c r="F131" t="inlineStr">
        <is>
          <t>SKÅNE LÄN</t>
        </is>
      </c>
      <c r="G131" t="inlineStr">
        <is>
          <t>HÖRBY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45391</v>
      </c>
      <c r="E132" s="1" t="n">
        <v>46265</v>
      </c>
      <c r="F132" t="inlineStr">
        <is>
          <t>SKÅNE LÄN</t>
        </is>
      </c>
      <c r="G132" t="inlineStr">
        <is>
          <t>HÖRBY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46064</v>
      </c>
      <c r="E133" s="1" t="n">
        <v>46265</v>
      </c>
      <c r="F133" t="inlineStr">
        <is>
          <t>SKÅNE LÄN</t>
        </is>
      </c>
      <c r="G133" t="inlineStr">
        <is>
          <t>HÖRBY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46265</v>
      </c>
      <c r="F134" t="inlineStr">
        <is>
          <t>SKÅNE LÄN</t>
        </is>
      </c>
      <c r="G134" t="inlineStr">
        <is>
          <t>HÖRBY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46265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46265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46265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10731-2026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46265</v>
      </c>
      <c r="F138" t="inlineStr">
        <is>
          <t>SKÅNE LÄN</t>
        </is>
      </c>
      <c r="G138" t="inlineStr">
        <is>
          <t>HÖRBY</t>
        </is>
      </c>
      <c r="H138" t="inlineStr">
        <is>
          <t>Kyrkan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45315</v>
      </c>
      <c r="E139" s="1" t="n">
        <v>46265</v>
      </c>
      <c r="F139" t="inlineStr">
        <is>
          <t>SKÅNE LÄN</t>
        </is>
      </c>
      <c r="G139" t="inlineStr">
        <is>
          <t>HÖRBY</t>
        </is>
      </c>
      <c r="H139" t="inlineStr">
        <is>
          <t>Kyrkan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46265</v>
      </c>
      <c r="F140" t="inlineStr">
        <is>
          <t>SKÅNE LÄN</t>
        </is>
      </c>
      <c r="G140" t="inlineStr">
        <is>
          <t>HÖRBY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46265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46265</v>
      </c>
      <c r="F142" t="inlineStr">
        <is>
          <t>SKÅNE LÄN</t>
        </is>
      </c>
      <c r="G142" t="inlineStr">
        <is>
          <t>HÖRBY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46265</v>
      </c>
      <c r="F143" t="inlineStr">
        <is>
          <t>SKÅNE LÄN</t>
        </is>
      </c>
      <c r="G143" t="inlineStr">
        <is>
          <t>HÖRBY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46265</v>
      </c>
      <c r="F144" t="inlineStr">
        <is>
          <t>SKÅNE LÄN</t>
        </is>
      </c>
      <c r="G144" t="inlineStr">
        <is>
          <t>HÖRBY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45316</v>
      </c>
      <c r="E145" s="1" t="n">
        <v>46265</v>
      </c>
      <c r="F145" t="inlineStr">
        <is>
          <t>SKÅNE LÄN</t>
        </is>
      </c>
      <c r="G145" t="inlineStr">
        <is>
          <t>HÖRBY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46265</v>
      </c>
      <c r="F146" t="inlineStr">
        <is>
          <t>SKÅNE LÄN</t>
        </is>
      </c>
      <c r="G146" t="inlineStr">
        <is>
          <t>HÖRBY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46265</v>
      </c>
      <c r="F147" t="inlineStr">
        <is>
          <t>SKÅNE LÄN</t>
        </is>
      </c>
      <c r="G147" t="inlineStr">
        <is>
          <t>HÖRBY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46265</v>
      </c>
      <c r="F148" t="inlineStr">
        <is>
          <t>SKÅNE LÄN</t>
        </is>
      </c>
      <c r="G148" t="inlineStr">
        <is>
          <t>HÖRBY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46265</v>
      </c>
      <c r="F149" t="inlineStr">
        <is>
          <t>SKÅNE LÄN</t>
        </is>
      </c>
      <c r="G149" t="inlineStr">
        <is>
          <t>HÖRBY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46265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46265</v>
      </c>
      <c r="F151" t="inlineStr">
        <is>
          <t>SKÅNE LÄN</t>
        </is>
      </c>
      <c r="G151" t="inlineStr">
        <is>
          <t>HÖRBY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46072</v>
      </c>
      <c r="E152" s="1" t="n">
        <v>46265</v>
      </c>
      <c r="F152" t="inlineStr">
        <is>
          <t>SKÅNE LÄN</t>
        </is>
      </c>
      <c r="G152" t="inlineStr">
        <is>
          <t>HÖRBY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46265</v>
      </c>
      <c r="F153" t="inlineStr">
        <is>
          <t>SKÅNE LÄN</t>
        </is>
      </c>
      <c r="G153" t="inlineStr">
        <is>
          <t>HÖRBY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46265</v>
      </c>
      <c r="F154" t="inlineStr">
        <is>
          <t>SKÅNE LÄN</t>
        </is>
      </c>
      <c r="G154" t="inlineStr">
        <is>
          <t>HÖRBY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46265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46265</v>
      </c>
      <c r="F156" t="inlineStr">
        <is>
          <t>SKÅNE LÄN</t>
        </is>
      </c>
      <c r="G156" t="inlineStr">
        <is>
          <t>HÖRBY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46265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46265</v>
      </c>
      <c r="F158" t="inlineStr">
        <is>
          <t>SKÅNE LÄN</t>
        </is>
      </c>
      <c r="G158" t="inlineStr">
        <is>
          <t>HÖRBY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45521</v>
      </c>
      <c r="E159" s="1" t="n">
        <v>46265</v>
      </c>
      <c r="F159" t="inlineStr">
        <is>
          <t>SKÅNE LÄN</t>
        </is>
      </c>
      <c r="G159" t="inlineStr">
        <is>
          <t>HÖRBY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46265</v>
      </c>
      <c r="F160" t="inlineStr">
        <is>
          <t>SKÅNE LÄN</t>
        </is>
      </c>
      <c r="G160" t="inlineStr">
        <is>
          <t>HÖRBY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45250</v>
      </c>
      <c r="E161" s="1" t="n">
        <v>46265</v>
      </c>
      <c r="F161" t="inlineStr">
        <is>
          <t>SKÅNE LÄN</t>
        </is>
      </c>
      <c r="G161" t="inlineStr">
        <is>
          <t>HÖRBY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45166</v>
      </c>
      <c r="E162" s="1" t="n">
        <v>46265</v>
      </c>
      <c r="F162" t="inlineStr">
        <is>
          <t>SKÅNE LÄN</t>
        </is>
      </c>
      <c r="G162" t="inlineStr">
        <is>
          <t>HÖRBY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46265</v>
      </c>
      <c r="F163" t="inlineStr">
        <is>
          <t>SKÅNE LÄN</t>
        </is>
      </c>
      <c r="G163" t="inlineStr">
        <is>
          <t>HÖRBY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46265</v>
      </c>
      <c r="F164" t="inlineStr">
        <is>
          <t>SKÅNE LÄN</t>
        </is>
      </c>
      <c r="G164" t="inlineStr">
        <is>
          <t>HÖRBY</t>
        </is>
      </c>
      <c r="H164" t="inlineStr">
        <is>
          <t>Kyrkan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46265</v>
      </c>
      <c r="F165" t="inlineStr">
        <is>
          <t>SKÅNE LÄN</t>
        </is>
      </c>
      <c r="G165" t="inlineStr">
        <is>
          <t>HÖRBY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45203</v>
      </c>
      <c r="E166" s="1" t="n">
        <v>46265</v>
      </c>
      <c r="F166" t="inlineStr">
        <is>
          <t>SKÅNE LÄN</t>
        </is>
      </c>
      <c r="G166" t="inlineStr">
        <is>
          <t>HÖRBY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24670-2024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45460</v>
      </c>
      <c r="E167" s="1" t="n">
        <v>46265</v>
      </c>
      <c r="F167" t="inlineStr">
        <is>
          <t>SKÅNE LÄN</t>
        </is>
      </c>
      <c r="G167" t="inlineStr">
        <is>
          <t>HÖRBY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45287</v>
      </c>
      <c r="E168" s="1" t="n">
        <v>46265</v>
      </c>
      <c r="F168" t="inlineStr">
        <is>
          <t>SKÅNE LÄN</t>
        </is>
      </c>
      <c r="G168" t="inlineStr">
        <is>
          <t>HÖRBY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46265</v>
      </c>
      <c r="F169" t="inlineStr">
        <is>
          <t>SKÅNE LÄN</t>
        </is>
      </c>
      <c r="G169" t="inlineStr">
        <is>
          <t>HÖRBY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45502</v>
      </c>
      <c r="E170" s="1" t="n">
        <v>46265</v>
      </c>
      <c r="F170" t="inlineStr">
        <is>
          <t>SKÅNE LÄN</t>
        </is>
      </c>
      <c r="G170" t="inlineStr">
        <is>
          <t>HÖRBY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46265</v>
      </c>
      <c r="F171" t="inlineStr">
        <is>
          <t>SKÅNE LÄN</t>
        </is>
      </c>
      <c r="G171" t="inlineStr">
        <is>
          <t>HÖRBY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44814</v>
      </c>
      <c r="E172" s="1" t="n">
        <v>46265</v>
      </c>
      <c r="F172" t="inlineStr">
        <is>
          <t>SKÅNE LÄN</t>
        </is>
      </c>
      <c r="G172" t="inlineStr">
        <is>
          <t>HÖRBY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46265</v>
      </c>
      <c r="F173" t="inlineStr">
        <is>
          <t>SKÅNE LÄN</t>
        </is>
      </c>
      <c r="G173" t="inlineStr">
        <is>
          <t>HÖRBY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46265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45572</v>
      </c>
      <c r="E175" s="1" t="n">
        <v>46265</v>
      </c>
      <c r="F175" t="inlineStr">
        <is>
          <t>SKÅNE LÄN</t>
        </is>
      </c>
      <c r="G175" t="inlineStr">
        <is>
          <t>HÖRBY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45540</v>
      </c>
      <c r="E176" s="1" t="n">
        <v>46265</v>
      </c>
      <c r="F176" t="inlineStr">
        <is>
          <t>SKÅNE LÄN</t>
        </is>
      </c>
      <c r="G176" t="inlineStr">
        <is>
          <t>HÖRBY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46265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46265</v>
      </c>
      <c r="F178" t="inlineStr">
        <is>
          <t>SKÅNE LÄN</t>
        </is>
      </c>
      <c r="G178" t="inlineStr">
        <is>
          <t>HÖRBY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43685-2022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46265</v>
      </c>
      <c r="F179" t="inlineStr">
        <is>
          <t>SKÅNE LÄN</t>
        </is>
      </c>
      <c r="G179" t="inlineStr">
        <is>
          <t>HÖRBY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24724-2024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45460</v>
      </c>
      <c r="E180" s="1" t="n">
        <v>46265</v>
      </c>
      <c r="F180" t="inlineStr">
        <is>
          <t>SKÅNE LÄN</t>
        </is>
      </c>
      <c r="G180" t="inlineStr">
        <is>
          <t>HÖRBY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6558-2025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45699</v>
      </c>
      <c r="E181" s="1" t="n">
        <v>46265</v>
      </c>
      <c r="F181" t="inlineStr">
        <is>
          <t>SKÅNE LÄN</t>
        </is>
      </c>
      <c r="G181" t="inlineStr">
        <is>
          <t>HÖRBY</t>
        </is>
      </c>
      <c r="H181" t="inlineStr">
        <is>
          <t>Kommuner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46265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44775</v>
      </c>
      <c r="E183" s="1" t="n">
        <v>46265</v>
      </c>
      <c r="F183" t="inlineStr">
        <is>
          <t>SKÅNE LÄN</t>
        </is>
      </c>
      <c r="G183" t="inlineStr">
        <is>
          <t>HÖRBY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46265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46265</v>
      </c>
      <c r="F185" t="inlineStr">
        <is>
          <t>SKÅNE LÄN</t>
        </is>
      </c>
      <c r="G185" t="inlineStr">
        <is>
          <t>HÖRBY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46265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46265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46265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45688</v>
      </c>
      <c r="E189" s="1" t="n">
        <v>46265</v>
      </c>
      <c r="F189" t="inlineStr">
        <is>
          <t>SKÅNE LÄN</t>
        </is>
      </c>
      <c r="G189" t="inlineStr">
        <is>
          <t>HÖRBY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45128</v>
      </c>
      <c r="E190" s="1" t="n">
        <v>46265</v>
      </c>
      <c r="F190" t="inlineStr">
        <is>
          <t>SKÅNE LÄN</t>
        </is>
      </c>
      <c r="G190" t="inlineStr">
        <is>
          <t>HÖRBY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45551</v>
      </c>
      <c r="E191" s="1" t="n">
        <v>46265</v>
      </c>
      <c r="F191" t="inlineStr">
        <is>
          <t>SKÅNE LÄN</t>
        </is>
      </c>
      <c r="G191" t="inlineStr">
        <is>
          <t>HÖRBY</t>
        </is>
      </c>
      <c r="H191" t="inlineStr">
        <is>
          <t>Sveaskog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41940-2022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44833</v>
      </c>
      <c r="E192" s="1" t="n">
        <v>46265</v>
      </c>
      <c r="F192" t="inlineStr">
        <is>
          <t>SKÅNE LÄN</t>
        </is>
      </c>
      <c r="G192" t="inlineStr">
        <is>
          <t>HÖRBY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46265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45103</v>
      </c>
      <c r="E194" s="1" t="n">
        <v>46265</v>
      </c>
      <c r="F194" t="inlineStr">
        <is>
          <t>SKÅNE LÄN</t>
        </is>
      </c>
      <c r="G194" t="inlineStr">
        <is>
          <t>HÖRBY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19420-2022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44693</v>
      </c>
      <c r="E195" s="1" t="n">
        <v>46265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45203</v>
      </c>
      <c r="E196" s="1" t="n">
        <v>46265</v>
      </c>
      <c r="F196" t="inlineStr">
        <is>
          <t>SKÅNE LÄN</t>
        </is>
      </c>
      <c r="G196" t="inlineStr">
        <is>
          <t>HÖRBY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46265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46265</v>
      </c>
      <c r="F198" t="inlineStr">
        <is>
          <t>SKÅNE LÄN</t>
        </is>
      </c>
      <c r="G198" t="inlineStr">
        <is>
          <t>HÖRBY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46265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46265</v>
      </c>
      <c r="F200" t="inlineStr">
        <is>
          <t>SKÅNE LÄN</t>
        </is>
      </c>
      <c r="G200" t="inlineStr">
        <is>
          <t>HÖRBY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45762</v>
      </c>
      <c r="E201" s="1" t="n">
        <v>46265</v>
      </c>
      <c r="F201" t="inlineStr">
        <is>
          <t>SKÅNE LÄN</t>
        </is>
      </c>
      <c r="G201" t="inlineStr">
        <is>
          <t>HÖRBY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3177-2026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46041</v>
      </c>
      <c r="E202" s="1" t="n">
        <v>46265</v>
      </c>
      <c r="F202" t="inlineStr">
        <is>
          <t>SKÅNE LÄN</t>
        </is>
      </c>
      <c r="G202" t="inlineStr">
        <is>
          <t>HÖRBY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46265</v>
      </c>
      <c r="F203" t="inlineStr">
        <is>
          <t>SKÅNE LÄN</t>
        </is>
      </c>
      <c r="G203" t="inlineStr">
        <is>
          <t>HÖRBY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46265</v>
      </c>
      <c r="F204" t="inlineStr">
        <is>
          <t>SKÅNE LÄN</t>
        </is>
      </c>
      <c r="G204" t="inlineStr">
        <is>
          <t>HÖRBY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46265</v>
      </c>
      <c r="F205" t="inlineStr">
        <is>
          <t>SKÅNE LÄN</t>
        </is>
      </c>
      <c r="G205" t="inlineStr">
        <is>
          <t>HÖRBY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46265</v>
      </c>
      <c r="F206" t="inlineStr">
        <is>
          <t>SKÅNE LÄN</t>
        </is>
      </c>
      <c r="G206" t="inlineStr">
        <is>
          <t>HÖRBY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29138-2026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46202</v>
      </c>
      <c r="E207" s="1" t="n">
        <v>46265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29135-2026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46202</v>
      </c>
      <c r="E208" s="1" t="n">
        <v>46265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29137-2026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46202</v>
      </c>
      <c r="E209" s="1" t="n">
        <v>46265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46202</v>
      </c>
      <c r="E210" s="1" t="n">
        <v>46265</v>
      </c>
      <c r="F210" t="inlineStr">
        <is>
          <t>SKÅNE LÄN</t>
        </is>
      </c>
      <c r="G210" t="inlineStr">
        <is>
          <t>HÖRBY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46265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46265</v>
      </c>
      <c r="F212" t="inlineStr">
        <is>
          <t>SKÅNE LÄN</t>
        </is>
      </c>
      <c r="G212" t="inlineStr">
        <is>
          <t>HÖRBY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46213</v>
      </c>
      <c r="E213" s="1" t="n">
        <v>46265</v>
      </c>
      <c r="F213" t="inlineStr">
        <is>
          <t>SKÅNE LÄN</t>
        </is>
      </c>
      <c r="G213" t="inlineStr">
        <is>
          <t>HÖRBY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46265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46265</v>
      </c>
      <c r="F215" t="inlineStr">
        <is>
          <t>SKÅNE LÄN</t>
        </is>
      </c>
      <c r="G215" t="inlineStr">
        <is>
          <t>HÖRBY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46162</v>
      </c>
      <c r="E216" s="1" t="n">
        <v>46265</v>
      </c>
      <c r="F216" t="inlineStr">
        <is>
          <t>SKÅNE LÄN</t>
        </is>
      </c>
      <c r="G216" t="inlineStr">
        <is>
          <t>HÖRBY</t>
        </is>
      </c>
      <c r="I216" t="n">
        <v>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46265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45970</v>
      </c>
      <c r="E218" s="1" t="n">
        <v>46265</v>
      </c>
      <c r="F218" t="inlineStr">
        <is>
          <t>SKÅNE LÄN</t>
        </is>
      </c>
      <c r="G218" t="inlineStr">
        <is>
          <t>HÖRBY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46265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46265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46265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46265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220-2026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46051</v>
      </c>
      <c r="E223" s="1" t="n">
        <v>46265</v>
      </c>
      <c r="F223" t="inlineStr">
        <is>
          <t>SKÅNE LÄN</t>
        </is>
      </c>
      <c r="G223" t="inlineStr">
        <is>
          <t>HÖRBY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1874-2026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46265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1875-2026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46265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1873-2026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46265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2026-08-31T10:01:57Z</dcterms:created>
  <dcterms:modified xmlns:dcterms="http://purl.org/dc/terms/" xmlns:xsi="http://www.w3.org/2001/XMLSchema-instance" xsi:type="dcterms:W3CDTF">2026-08-31T10:01:57Z</dcterms:modified>
</cp:coreProperties>
</file>