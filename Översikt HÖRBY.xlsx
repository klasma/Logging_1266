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46316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46316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46316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46316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46316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46316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46316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46316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46316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46316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46316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46316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46316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46316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46316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46316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46316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46316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46316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46316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46316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46316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46316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46316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46316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46316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113-2023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46316</v>
      </c>
      <c r="F31" t="inlineStr">
        <is>
          <t>SKÅNE LÄN</t>
        </is>
      </c>
      <c r="G31" t="inlineStr">
        <is>
          <t>HÖRBY</t>
        </is>
      </c>
      <c r="I31" t="n">
        <v>5.1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HYPERLINK("https://klasma.github.io/Logging_1266/artfynd/A 113-2023 artfynd.xlsx", "A 113-2023")</f>
        <v/>
      </c>
      <c r="X31">
        <f>HYPERLINK("https://klasma.github.io/Logging_1266/kartor/A 113-2023 karta.png", "A 113-2023")</f>
        <v/>
      </c>
      <c r="Y31">
        <f>HYPERLINK("https://klasma.github.io/Logging_1266/kartor_geotiff/A 113-2023 georefererad karta.tif", "A 113-2023")</f>
        <v/>
      </c>
      <c r="AA31">
        <f>HYPERLINK("https://klasma.github.io/Logging_1266/klagomål/A 113-2023 FSC-klagomål.docx", "A 113-2023")</f>
        <v/>
      </c>
      <c r="AB31">
        <f>HYPERLINK("https://klasma.github.io/Logging_1266/klagomålsmail/A 113-2023 FSC-klagomål mail.docx", "A 113-2023")</f>
        <v/>
      </c>
      <c r="AC31">
        <f>HYPERLINK("https://klasma.github.io/Logging_1266/tillsyn/A 113-2023 tillsynsbegäran.docx", "A 113-2023")</f>
        <v/>
      </c>
      <c r="AD31">
        <f>HYPERLINK("https://klasma.github.io/Logging_1266/tillsynsmail/A 113-2023 tillsynsbegäran mail.docx", "A 113-2023")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46316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25833-2024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46316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HYPERLINK("https://klasma.github.io/Logging_1266/artfynd/A 25833-2024 artfynd.xlsx", "A 25833-2024")</f>
        <v/>
      </c>
      <c r="X33">
        <f>HYPERLINK("https://klasma.github.io/Logging_1266/kartor/A 25833-2024 karta.png", "A 25833-2024")</f>
        <v/>
      </c>
      <c r="Y33">
        <f>HYPERLINK("https://klasma.github.io/Logging_1266/kartor_geotiff/A 25833-2024 georefererad karta.tif", "A 25833-2024")</f>
        <v/>
      </c>
      <c r="AA33">
        <f>HYPERLINK("https://klasma.github.io/Logging_1266/klagomål/A 25833-2024 FSC-klagomål.docx", "A 25833-2024")</f>
        <v/>
      </c>
      <c r="AB33">
        <f>HYPERLINK("https://klasma.github.io/Logging_1266/klagomålsmail/A 25833-2024 FSC-klagomål mail.docx", "A 25833-2024")</f>
        <v/>
      </c>
      <c r="AC33">
        <f>HYPERLINK("https://klasma.github.io/Logging_1266/tillsyn/A 25833-2024 tillsynsbegäran.docx", "A 25833-2024")</f>
        <v/>
      </c>
      <c r="AD33">
        <f>HYPERLINK("https://klasma.github.io/Logging_1266/tillsynsmail/A 25833-2024 tillsynsbegäran mail.docx", "A 25833-2024")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46316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46316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46316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46316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46316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46316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46316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46316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46316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46316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46316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46316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46316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46316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46316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46316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46316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46316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46316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46316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46316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46316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46316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46316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46316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46316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46316</v>
      </c>
      <c r="F60" t="inlineStr">
        <is>
          <t>SKÅNE LÄN</t>
        </is>
      </c>
      <c r="G60" t="inlineStr">
        <is>
          <t>HÖRBY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43711-2024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45569</v>
      </c>
      <c r="E61" s="1" t="n">
        <v>46316</v>
      </c>
      <c r="F61" t="inlineStr">
        <is>
          <t>SKÅNE LÄN</t>
        </is>
      </c>
      <c r="G61" t="inlineStr">
        <is>
          <t>HÖRBY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46316</v>
      </c>
      <c r="F62" t="inlineStr">
        <is>
          <t>SKÅNE LÄN</t>
        </is>
      </c>
      <c r="G62" t="inlineStr">
        <is>
          <t>HÖRBY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45688</v>
      </c>
      <c r="E63" s="1" t="n">
        <v>46316</v>
      </c>
      <c r="F63" t="inlineStr">
        <is>
          <t>SKÅNE LÄN</t>
        </is>
      </c>
      <c r="G63" t="inlineStr">
        <is>
          <t>HÖRBY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46316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46316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46029</v>
      </c>
      <c r="E66" s="1" t="n">
        <v>46316</v>
      </c>
      <c r="F66" t="inlineStr">
        <is>
          <t>SKÅNE LÄN</t>
        </is>
      </c>
      <c r="G66" t="inlineStr">
        <is>
          <t>HÖRBY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45128</v>
      </c>
      <c r="E67" s="1" t="n">
        <v>46316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46030</v>
      </c>
      <c r="E68" s="1" t="n">
        <v>46316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46030</v>
      </c>
      <c r="E69" s="1" t="n">
        <v>46316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46030</v>
      </c>
      <c r="E70" s="1" t="n">
        <v>46316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46316</v>
      </c>
      <c r="F71" t="inlineStr">
        <is>
          <t>SKÅNE LÄN</t>
        </is>
      </c>
      <c r="G71" t="inlineStr">
        <is>
          <t>HÖRBY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46035</v>
      </c>
      <c r="E72" s="1" t="n">
        <v>46316</v>
      </c>
      <c r="F72" t="inlineStr">
        <is>
          <t>SKÅNE LÄN</t>
        </is>
      </c>
      <c r="G72" t="inlineStr">
        <is>
          <t>HÖRBY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46316</v>
      </c>
      <c r="F73" t="inlineStr">
        <is>
          <t>SKÅNE LÄN</t>
        </is>
      </c>
      <c r="G73" t="inlineStr">
        <is>
          <t>HÖRBY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46038</v>
      </c>
      <c r="E74" s="1" t="n">
        <v>46316</v>
      </c>
      <c r="F74" t="inlineStr">
        <is>
          <t>SKÅNE LÄN</t>
        </is>
      </c>
      <c r="G74" t="inlineStr">
        <is>
          <t>HÖRBY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45203</v>
      </c>
      <c r="E75" s="1" t="n">
        <v>46316</v>
      </c>
      <c r="F75" t="inlineStr">
        <is>
          <t>SKÅNE LÄN</t>
        </is>
      </c>
      <c r="G75" t="inlineStr">
        <is>
          <t>HÖRBY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34154-2025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45845</v>
      </c>
      <c r="E76" s="1" t="n">
        <v>46316</v>
      </c>
      <c r="F76" t="inlineStr">
        <is>
          <t>SKÅNE LÄN</t>
        </is>
      </c>
      <c r="G76" t="inlineStr">
        <is>
          <t>HÖRBY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46316</v>
      </c>
      <c r="F77" t="inlineStr">
        <is>
          <t>SKÅNE LÄN</t>
        </is>
      </c>
      <c r="G77" t="inlineStr">
        <is>
          <t>HÖRBY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46316</v>
      </c>
      <c r="F78" t="inlineStr">
        <is>
          <t>SKÅNE LÄN</t>
        </is>
      </c>
      <c r="G78" t="inlineStr">
        <is>
          <t>HÖRBY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46050</v>
      </c>
      <c r="E79" s="1" t="n">
        <v>46316</v>
      </c>
      <c r="F79" t="inlineStr">
        <is>
          <t>SKÅNE LÄN</t>
        </is>
      </c>
      <c r="G79" t="inlineStr">
        <is>
          <t>HÖRBY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45551</v>
      </c>
      <c r="E80" s="1" t="n">
        <v>46316</v>
      </c>
      <c r="F80" t="inlineStr">
        <is>
          <t>SKÅNE LÄN</t>
        </is>
      </c>
      <c r="G80" t="inlineStr">
        <is>
          <t>HÖRBY</t>
        </is>
      </c>
      <c r="H80" t="inlineStr">
        <is>
          <t>Sveaskog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45300</v>
      </c>
      <c r="E81" s="1" t="n">
        <v>46316</v>
      </c>
      <c r="F81" t="inlineStr">
        <is>
          <t>SKÅNE LÄN</t>
        </is>
      </c>
      <c r="G81" t="inlineStr">
        <is>
          <t>HÖRBY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45363</v>
      </c>
      <c r="E82" s="1" t="n">
        <v>46316</v>
      </c>
      <c r="F82" t="inlineStr">
        <is>
          <t>SKÅNE LÄN</t>
        </is>
      </c>
      <c r="G82" t="inlineStr">
        <is>
          <t>HÖRBY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45824</v>
      </c>
      <c r="E83" s="1" t="n">
        <v>46316</v>
      </c>
      <c r="F83" t="inlineStr">
        <is>
          <t>SKÅNE LÄN</t>
        </is>
      </c>
      <c r="G83" t="inlineStr">
        <is>
          <t>HÖRBY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46316</v>
      </c>
      <c r="F84" t="inlineStr">
        <is>
          <t>SKÅNE LÄN</t>
        </is>
      </c>
      <c r="G84" t="inlineStr">
        <is>
          <t>HÖRBY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46316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46064</v>
      </c>
      <c r="E86" s="1" t="n">
        <v>46316</v>
      </c>
      <c r="F86" t="inlineStr">
        <is>
          <t>SKÅNE LÄN</t>
        </is>
      </c>
      <c r="G86" t="inlineStr">
        <is>
          <t>HÖRBY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46064</v>
      </c>
      <c r="E87" s="1" t="n">
        <v>46316</v>
      </c>
      <c r="F87" t="inlineStr">
        <is>
          <t>SKÅNE LÄN</t>
        </is>
      </c>
      <c r="G87" t="inlineStr">
        <is>
          <t>HÖRBY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46064</v>
      </c>
      <c r="E88" s="1" t="n">
        <v>46316</v>
      </c>
      <c r="F88" t="inlineStr">
        <is>
          <t>SKÅNE LÄN</t>
        </is>
      </c>
      <c r="G88" t="inlineStr">
        <is>
          <t>HÖRBY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46316</v>
      </c>
      <c r="F89" t="inlineStr">
        <is>
          <t>SKÅNE LÄN</t>
        </is>
      </c>
      <c r="G89" t="inlineStr">
        <is>
          <t>HÖRBY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45104</v>
      </c>
      <c r="E90" s="1" t="n">
        <v>46316</v>
      </c>
      <c r="F90" t="inlineStr">
        <is>
          <t>SKÅNE LÄN</t>
        </is>
      </c>
      <c r="G90" t="inlineStr">
        <is>
          <t>HÖRBY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46316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46316</v>
      </c>
      <c r="F92" t="inlineStr">
        <is>
          <t>SKÅNE LÄN</t>
        </is>
      </c>
      <c r="G92" t="inlineStr">
        <is>
          <t>HÖRBY</t>
        </is>
      </c>
      <c r="I92" t="n">
        <v>18.7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46316</v>
      </c>
      <c r="F93" t="inlineStr">
        <is>
          <t>SKÅNE LÄN</t>
        </is>
      </c>
      <c r="G93" t="inlineStr">
        <is>
          <t>HÖRBY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46316</v>
      </c>
      <c r="F94" t="inlineStr">
        <is>
          <t>SKÅNE LÄN</t>
        </is>
      </c>
      <c r="G94" t="inlineStr">
        <is>
          <t>HÖRBY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46316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51757-2025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45951</v>
      </c>
      <c r="E96" s="1" t="n">
        <v>46316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46316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46316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46316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46099</v>
      </c>
      <c r="E100" s="1" t="n">
        <v>46316</v>
      </c>
      <c r="F100" t="inlineStr">
        <is>
          <t>SKÅNE LÄN</t>
        </is>
      </c>
      <c r="G100" t="inlineStr">
        <is>
          <t>HÖRBY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46316</v>
      </c>
      <c r="F101" t="inlineStr">
        <is>
          <t>SKÅNE LÄN</t>
        </is>
      </c>
      <c r="G101" t="inlineStr">
        <is>
          <t>HÖRBY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46316</v>
      </c>
      <c r="F102" t="inlineStr">
        <is>
          <t>SKÅNE LÄN</t>
        </is>
      </c>
      <c r="G102" t="inlineStr">
        <is>
          <t>HÖRBY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46316</v>
      </c>
      <c r="F103" t="inlineStr">
        <is>
          <t>SKÅNE LÄN</t>
        </is>
      </c>
      <c r="G103" t="inlineStr">
        <is>
          <t>HÖRBY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46316</v>
      </c>
      <c r="F104" t="inlineStr">
        <is>
          <t>SKÅNE LÄN</t>
        </is>
      </c>
      <c r="G104" t="inlineStr">
        <is>
          <t>HÖRBY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47552-2023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46316</v>
      </c>
      <c r="F105" t="inlineStr">
        <is>
          <t>SKÅNE LÄN</t>
        </is>
      </c>
      <c r="G105" t="inlineStr">
        <is>
          <t>HÖRBY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46316</v>
      </c>
      <c r="F106" t="inlineStr">
        <is>
          <t>SKÅNE LÄN</t>
        </is>
      </c>
      <c r="G106" t="inlineStr">
        <is>
          <t>HÖRBY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46316</v>
      </c>
      <c r="F107" t="inlineStr">
        <is>
          <t>SKÅNE LÄN</t>
        </is>
      </c>
      <c r="G107" t="inlineStr">
        <is>
          <t>HÖRBY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46316</v>
      </c>
      <c r="F108" t="inlineStr">
        <is>
          <t>SKÅNE LÄN</t>
        </is>
      </c>
      <c r="G108" t="inlineStr">
        <is>
          <t>HÖRBY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46316</v>
      </c>
      <c r="F109" t="inlineStr">
        <is>
          <t>SKÅNE LÄN</t>
        </is>
      </c>
      <c r="G109" t="inlineStr">
        <is>
          <t>HÖRBY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45966</v>
      </c>
      <c r="E110" s="1" t="n">
        <v>46316</v>
      </c>
      <c r="F110" t="inlineStr">
        <is>
          <t>SKÅNE LÄN</t>
        </is>
      </c>
      <c r="G110" t="inlineStr">
        <is>
          <t>HÖRBY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46316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46316</v>
      </c>
      <c r="F112" t="inlineStr">
        <is>
          <t>SKÅNE LÄN</t>
        </is>
      </c>
      <c r="G112" t="inlineStr">
        <is>
          <t>HÖRBY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46316</v>
      </c>
      <c r="F113" t="inlineStr">
        <is>
          <t>SKÅNE LÄN</t>
        </is>
      </c>
      <c r="G113" t="inlineStr">
        <is>
          <t>HÖRBY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46316</v>
      </c>
      <c r="F114" t="inlineStr">
        <is>
          <t>SKÅNE LÄN</t>
        </is>
      </c>
      <c r="G114" t="inlineStr">
        <is>
          <t>HÖRBY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46316</v>
      </c>
      <c r="F115" t="inlineStr">
        <is>
          <t>SKÅNE LÄN</t>
        </is>
      </c>
      <c r="G115" t="inlineStr">
        <is>
          <t>HÖRBY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32459-2025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45838</v>
      </c>
      <c r="E116" s="1" t="n">
        <v>46316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46316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46316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45979</v>
      </c>
      <c r="E119" s="1" t="n">
        <v>46316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45155</v>
      </c>
      <c r="E120" s="1" t="n">
        <v>46316</v>
      </c>
      <c r="F120" t="inlineStr">
        <is>
          <t>SKÅNE LÄN</t>
        </is>
      </c>
      <c r="G120" t="inlineStr">
        <is>
          <t>HÖRBY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45226</v>
      </c>
      <c r="E121" s="1" t="n">
        <v>46316</v>
      </c>
      <c r="F121" t="inlineStr">
        <is>
          <t>SKÅNE LÄN</t>
        </is>
      </c>
      <c r="G121" t="inlineStr">
        <is>
          <t>HÖRBY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46316</v>
      </c>
      <c r="F122" t="inlineStr">
        <is>
          <t>SKÅNE LÄN</t>
        </is>
      </c>
      <c r="G122" t="inlineStr">
        <is>
          <t>HÖRBY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46316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37756-2024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46316</v>
      </c>
      <c r="F124" t="inlineStr">
        <is>
          <t>SKÅNE LÄN</t>
        </is>
      </c>
      <c r="G124" t="inlineStr">
        <is>
          <t>HÖRBY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45545</v>
      </c>
      <c r="E125" s="1" t="n">
        <v>46316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45390</v>
      </c>
      <c r="E126" s="1" t="n">
        <v>46316</v>
      </c>
      <c r="F126" t="inlineStr">
        <is>
          <t>SKÅNE LÄN</t>
        </is>
      </c>
      <c r="G126" t="inlineStr">
        <is>
          <t>HÖRBY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46316</v>
      </c>
      <c r="F127" t="inlineStr">
        <is>
          <t>SKÅNE LÄN</t>
        </is>
      </c>
      <c r="G127" t="inlineStr">
        <is>
          <t>HÖRBY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46316</v>
      </c>
      <c r="F128" t="inlineStr">
        <is>
          <t>SKÅNE LÄN</t>
        </is>
      </c>
      <c r="G128" t="inlineStr">
        <is>
          <t>HÖRBY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46316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65073-2023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45287</v>
      </c>
      <c r="E130" s="1" t="n">
        <v>46316</v>
      </c>
      <c r="F130" t="inlineStr">
        <is>
          <t>SKÅNE LÄN</t>
        </is>
      </c>
      <c r="G130" t="inlineStr">
        <is>
          <t>HÖRBY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45868</v>
      </c>
      <c r="E131" s="1" t="n">
        <v>46316</v>
      </c>
      <c r="F131" t="inlineStr">
        <is>
          <t>SKÅNE LÄN</t>
        </is>
      </c>
      <c r="G131" t="inlineStr">
        <is>
          <t>HÖRBY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46316</v>
      </c>
      <c r="F132" t="inlineStr">
        <is>
          <t>SKÅNE LÄN</t>
        </is>
      </c>
      <c r="G132" t="inlineStr">
        <is>
          <t>HÖRBY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46049</v>
      </c>
      <c r="E133" s="1" t="n">
        <v>46316</v>
      </c>
      <c r="F133" t="inlineStr">
        <is>
          <t>SKÅNE LÄN</t>
        </is>
      </c>
      <c r="G133" t="inlineStr">
        <is>
          <t>HÖRBY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45803</v>
      </c>
      <c r="E134" s="1" t="n">
        <v>46316</v>
      </c>
      <c r="F134" t="inlineStr">
        <is>
          <t>SKÅNE LÄN</t>
        </is>
      </c>
      <c r="G134" t="inlineStr">
        <is>
          <t>HÖRBY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46316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67426-2021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46316</v>
      </c>
      <c r="F136" t="inlineStr">
        <is>
          <t>SKÅNE LÄN</t>
        </is>
      </c>
      <c r="G136" t="inlineStr">
        <is>
          <t>HÖRBY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46316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46316</v>
      </c>
      <c r="F138" t="inlineStr">
        <is>
          <t>SKÅNE LÄN</t>
        </is>
      </c>
      <c r="G138" t="inlineStr">
        <is>
          <t>HÖRBY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46316</v>
      </c>
      <c r="F139" t="inlineStr">
        <is>
          <t>SKÅNE LÄN</t>
        </is>
      </c>
      <c r="G139" t="inlineStr">
        <is>
          <t>HÖRBY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43685-2022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44837</v>
      </c>
      <c r="E140" s="1" t="n">
        <v>46316</v>
      </c>
      <c r="F140" t="inlineStr">
        <is>
          <t>SKÅNE LÄN</t>
        </is>
      </c>
      <c r="G140" t="inlineStr">
        <is>
          <t>HÖRBY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45237</v>
      </c>
      <c r="E141" s="1" t="n">
        <v>46316</v>
      </c>
      <c r="F141" t="inlineStr">
        <is>
          <t>SKÅNE LÄN</t>
        </is>
      </c>
      <c r="G141" t="inlineStr">
        <is>
          <t>HÖRBY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45330</v>
      </c>
      <c r="E142" s="1" t="n">
        <v>46316</v>
      </c>
      <c r="F142" t="inlineStr">
        <is>
          <t>SKÅNE LÄN</t>
        </is>
      </c>
      <c r="G142" t="inlineStr">
        <is>
          <t>HÖRBY</t>
        </is>
      </c>
      <c r="H142" t="inlineStr">
        <is>
          <t>Kyrkan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45763</v>
      </c>
      <c r="E143" s="1" t="n">
        <v>46316</v>
      </c>
      <c r="F143" t="inlineStr">
        <is>
          <t>SKÅNE LÄN</t>
        </is>
      </c>
      <c r="G143" t="inlineStr">
        <is>
          <t>HÖRBY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46048</v>
      </c>
      <c r="E144" s="1" t="n">
        <v>46316</v>
      </c>
      <c r="F144" t="inlineStr">
        <is>
          <t>SKÅNE LÄN</t>
        </is>
      </c>
      <c r="G144" t="inlineStr">
        <is>
          <t>HÖRBY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46316</v>
      </c>
      <c r="F145" t="inlineStr">
        <is>
          <t>SKÅNE LÄN</t>
        </is>
      </c>
      <c r="G145" t="inlineStr">
        <is>
          <t>HÖRBY</t>
        </is>
      </c>
      <c r="H145" t="inlineStr">
        <is>
          <t>Kyrkan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46316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46316</v>
      </c>
      <c r="F147" t="inlineStr">
        <is>
          <t>SKÅNE LÄN</t>
        </is>
      </c>
      <c r="G147" t="inlineStr">
        <is>
          <t>HÖRBY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46316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46316</v>
      </c>
      <c r="F149" t="inlineStr">
        <is>
          <t>SKÅNE LÄN</t>
        </is>
      </c>
      <c r="G149" t="inlineStr">
        <is>
          <t>HÖRBY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46316</v>
      </c>
      <c r="F150" t="inlineStr">
        <is>
          <t>SKÅNE LÄN</t>
        </is>
      </c>
      <c r="G150" t="inlineStr">
        <is>
          <t>HÖRBY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46316</v>
      </c>
      <c r="F151" t="inlineStr">
        <is>
          <t>SKÅNE LÄN</t>
        </is>
      </c>
      <c r="G151" t="inlineStr">
        <is>
          <t>HÖRBY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46316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46316</v>
      </c>
      <c r="F153" t="inlineStr">
        <is>
          <t>SKÅNE LÄN</t>
        </is>
      </c>
      <c r="G153" t="inlineStr">
        <is>
          <t>HÖRBY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45762</v>
      </c>
      <c r="E154" s="1" t="n">
        <v>46316</v>
      </c>
      <c r="F154" t="inlineStr">
        <is>
          <t>SKÅNE LÄN</t>
        </is>
      </c>
      <c r="G154" t="inlineStr">
        <is>
          <t>HÖRBY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46316</v>
      </c>
      <c r="F155" t="inlineStr">
        <is>
          <t>SKÅNE LÄN</t>
        </is>
      </c>
      <c r="G155" t="inlineStr">
        <is>
          <t>HÖRBY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46041</v>
      </c>
      <c r="E156" s="1" t="n">
        <v>46316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45537</v>
      </c>
      <c r="E157" s="1" t="n">
        <v>46316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9.5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46316</v>
      </c>
      <c r="F158" t="inlineStr">
        <is>
          <t>SKÅNE LÄN</t>
        </is>
      </c>
      <c r="G158" t="inlineStr">
        <is>
          <t>HÖRBY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44775</v>
      </c>
      <c r="E159" s="1" t="n">
        <v>46316</v>
      </c>
      <c r="F159" t="inlineStr">
        <is>
          <t>SKÅNE LÄN</t>
        </is>
      </c>
      <c r="G159" t="inlineStr">
        <is>
          <t>HÖRBY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45616</v>
      </c>
      <c r="E160" s="1" t="n">
        <v>46316</v>
      </c>
      <c r="F160" t="inlineStr">
        <is>
          <t>SKÅNE LÄN</t>
        </is>
      </c>
      <c r="G160" t="inlineStr">
        <is>
          <t>HÖRBY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45261</v>
      </c>
      <c r="E161" s="1" t="n">
        <v>46316</v>
      </c>
      <c r="F161" t="inlineStr">
        <is>
          <t>SKÅNE LÄN</t>
        </is>
      </c>
      <c r="G161" t="inlineStr">
        <is>
          <t>HÖRBY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46316</v>
      </c>
      <c r="F162" t="inlineStr">
        <is>
          <t>SKÅNE LÄN</t>
        </is>
      </c>
      <c r="G162" t="inlineStr">
        <is>
          <t>HÖRBY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46316</v>
      </c>
      <c r="F163" t="inlineStr">
        <is>
          <t>SKÅNE LÄN</t>
        </is>
      </c>
      <c r="G163" t="inlineStr">
        <is>
          <t>HÖRBY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46316</v>
      </c>
      <c r="F164" t="inlineStr">
        <is>
          <t>SKÅNE LÄN</t>
        </is>
      </c>
      <c r="G164" t="inlineStr">
        <is>
          <t>HÖRBY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44834</v>
      </c>
      <c r="E165" s="1" t="n">
        <v>46316</v>
      </c>
      <c r="F165" t="inlineStr">
        <is>
          <t>SKÅNE LÄN</t>
        </is>
      </c>
      <c r="G165" t="inlineStr">
        <is>
          <t>HÖRBY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29138-2026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46202</v>
      </c>
      <c r="E166" s="1" t="n">
        <v>46316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46316</v>
      </c>
      <c r="F167" t="inlineStr">
        <is>
          <t>SKÅNE LÄN</t>
        </is>
      </c>
      <c r="G167" t="inlineStr">
        <is>
          <t>HÖRBY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46202</v>
      </c>
      <c r="E168" s="1" t="n">
        <v>46316</v>
      </c>
      <c r="F168" t="inlineStr">
        <is>
          <t>SKÅNE LÄN</t>
        </is>
      </c>
      <c r="G168" t="inlineStr">
        <is>
          <t>HÖRBY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29135-2026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46202</v>
      </c>
      <c r="E169" s="1" t="n">
        <v>46316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29137-2026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46202</v>
      </c>
      <c r="E170" s="1" t="n">
        <v>46316</v>
      </c>
      <c r="F170" t="inlineStr">
        <is>
          <t>SKÅNE LÄN</t>
        </is>
      </c>
      <c r="G170" t="inlineStr">
        <is>
          <t>HÖRBY</t>
        </is>
      </c>
      <c r="H170" t="inlineStr">
        <is>
          <t>Sveaskog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46316</v>
      </c>
      <c r="F171" t="inlineStr">
        <is>
          <t>SKÅNE LÄN</t>
        </is>
      </c>
      <c r="G171" t="inlineStr">
        <is>
          <t>HÖRBY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23606-2026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46162</v>
      </c>
      <c r="E172" s="1" t="n">
        <v>46316</v>
      </c>
      <c r="F172" t="inlineStr">
        <is>
          <t>SKÅNE LÄN</t>
        </is>
      </c>
      <c r="G172" t="inlineStr">
        <is>
          <t>HÖRBY</t>
        </is>
      </c>
      <c r="I172" t="n">
        <v>9.4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46316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46316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46213</v>
      </c>
      <c r="E175" s="1" t="n">
        <v>46316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45970</v>
      </c>
      <c r="E176" s="1" t="n">
        <v>46316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46316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24724-2024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45460</v>
      </c>
      <c r="E178" s="1" t="n">
        <v>46316</v>
      </c>
      <c r="F178" t="inlineStr">
        <is>
          <t>SKÅNE LÄN</t>
        </is>
      </c>
      <c r="G178" t="inlineStr">
        <is>
          <t>HÖRBY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58641-2023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45251</v>
      </c>
      <c r="E179" s="1" t="n">
        <v>46316</v>
      </c>
      <c r="F179" t="inlineStr">
        <is>
          <t>SKÅNE LÄN</t>
        </is>
      </c>
      <c r="G179" t="inlineStr">
        <is>
          <t>HÖRBY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46316</v>
      </c>
      <c r="F180" t="inlineStr">
        <is>
          <t>SKÅNE LÄN</t>
        </is>
      </c>
      <c r="G180" t="inlineStr">
        <is>
          <t>HÖRBY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45316</v>
      </c>
      <c r="E181" s="1" t="n">
        <v>46316</v>
      </c>
      <c r="F181" t="inlineStr">
        <is>
          <t>SKÅNE LÄN</t>
        </is>
      </c>
      <c r="G181" t="inlineStr">
        <is>
          <t>HÖRBY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46316</v>
      </c>
      <c r="F182" t="inlineStr">
        <is>
          <t>SKÅNE LÄN</t>
        </is>
      </c>
      <c r="G182" t="inlineStr">
        <is>
          <t>HÖRBY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45043</v>
      </c>
      <c r="E183" s="1" t="n">
        <v>46316</v>
      </c>
      <c r="F183" t="inlineStr">
        <is>
          <t>SKÅNE LÄN</t>
        </is>
      </c>
      <c r="G183" t="inlineStr">
        <is>
          <t>HÖRBY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38073-2026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46280</v>
      </c>
      <c r="E184" s="1" t="n">
        <v>46316</v>
      </c>
      <c r="F184" t="inlineStr">
        <is>
          <t>SKÅNE LÄN</t>
        </is>
      </c>
      <c r="G184" t="inlineStr">
        <is>
          <t>HÖRBY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46316</v>
      </c>
      <c r="F185" t="inlineStr">
        <is>
          <t>SKÅNE LÄN</t>
        </is>
      </c>
      <c r="G185" t="inlineStr">
        <is>
          <t>HÖRBY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45105</v>
      </c>
      <c r="E186" s="1" t="n">
        <v>46316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46316</v>
      </c>
      <c r="F187" t="inlineStr">
        <is>
          <t>SKÅNE LÄN</t>
        </is>
      </c>
      <c r="G187" t="inlineStr">
        <is>
          <t>HÖRBY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46316</v>
      </c>
      <c r="F188" t="inlineStr">
        <is>
          <t>SKÅNE LÄN</t>
        </is>
      </c>
      <c r="G188" t="inlineStr">
        <is>
          <t>HÖRBY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46286</v>
      </c>
      <c r="E189" s="1" t="n">
        <v>46316</v>
      </c>
      <c r="F189" t="inlineStr">
        <is>
          <t>SKÅNE LÄN</t>
        </is>
      </c>
      <c r="G189" t="inlineStr">
        <is>
          <t>HÖRBY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46316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46136</v>
      </c>
      <c r="E191" s="1" t="n">
        <v>46316</v>
      </c>
      <c r="F191" t="inlineStr">
        <is>
          <t>SKÅNE LÄN</t>
        </is>
      </c>
      <c r="G191" t="inlineStr">
        <is>
          <t>HÖRBY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46286</v>
      </c>
      <c r="E192" s="1" t="n">
        <v>46316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46286</v>
      </c>
      <c r="E193" s="1" t="n">
        <v>46316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34422-2024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45525</v>
      </c>
      <c r="E194" s="1" t="n">
        <v>46316</v>
      </c>
      <c r="F194" t="inlineStr">
        <is>
          <t>SKÅNE LÄN</t>
        </is>
      </c>
      <c r="G194" t="inlineStr">
        <is>
          <t>HÖRBY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39481-2026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46316</v>
      </c>
      <c r="F195" t="inlineStr">
        <is>
          <t>SKÅNE LÄN</t>
        </is>
      </c>
      <c r="G195" t="inlineStr">
        <is>
          <t>HÖRBY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46316</v>
      </c>
      <c r="F196" t="inlineStr">
        <is>
          <t>SKÅNE LÄN</t>
        </is>
      </c>
      <c r="G196" t="inlineStr">
        <is>
          <t>HÖRBY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46316</v>
      </c>
      <c r="F197" t="inlineStr">
        <is>
          <t>SKÅNE LÄN</t>
        </is>
      </c>
      <c r="G197" t="inlineStr">
        <is>
          <t>HÖRBY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46316</v>
      </c>
      <c r="F198" t="inlineStr">
        <is>
          <t>SKÅNE LÄN</t>
        </is>
      </c>
      <c r="G198" t="inlineStr">
        <is>
          <t>HÖRBY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19420-2022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44693</v>
      </c>
      <c r="E199" s="1" t="n">
        <v>46316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46006</v>
      </c>
      <c r="E200" s="1" t="n">
        <v>46316</v>
      </c>
      <c r="F200" t="inlineStr">
        <is>
          <t>SKÅNE LÄN</t>
        </is>
      </c>
      <c r="G200" t="inlineStr">
        <is>
          <t>HÖRBY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46316</v>
      </c>
      <c r="F201" t="inlineStr">
        <is>
          <t>SKÅNE LÄN</t>
        </is>
      </c>
      <c r="G201" t="inlineStr">
        <is>
          <t>HÖRBY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46316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46316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46316</v>
      </c>
      <c r="F204" t="inlineStr">
        <is>
          <t>SKÅNE LÄN</t>
        </is>
      </c>
      <c r="G204" t="inlineStr">
        <is>
          <t>HÖRBY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46316</v>
      </c>
      <c r="F205" t="inlineStr">
        <is>
          <t>SKÅNE LÄN</t>
        </is>
      </c>
      <c r="G205" t="inlineStr">
        <is>
          <t>HÖRBY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44810</v>
      </c>
      <c r="E206" s="1" t="n">
        <v>46316</v>
      </c>
      <c r="F206" t="inlineStr">
        <is>
          <t>SKÅNE LÄN</t>
        </is>
      </c>
      <c r="G206" t="inlineStr">
        <is>
          <t>HÖRBY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46316</v>
      </c>
      <c r="F207" t="inlineStr">
        <is>
          <t>SKÅNE LÄN</t>
        </is>
      </c>
      <c r="G207" t="inlineStr">
        <is>
          <t>HÖRBY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46302</v>
      </c>
      <c r="E208" s="1" t="n">
        <v>46316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45521</v>
      </c>
      <c r="E209" s="1" t="n">
        <v>46316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46285</v>
      </c>
      <c r="E210" s="1" t="n">
        <v>46316</v>
      </c>
      <c r="F210" t="inlineStr">
        <is>
          <t>SKÅNE LÄN</t>
        </is>
      </c>
      <c r="G210" t="inlineStr">
        <is>
          <t>HÖRBY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46316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46316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46316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45405</v>
      </c>
      <c r="E214" s="1" t="n">
        <v>46316</v>
      </c>
      <c r="F214" t="inlineStr">
        <is>
          <t>SKÅNE LÄN</t>
        </is>
      </c>
      <c r="G214" t="inlineStr">
        <is>
          <t>HÖRBY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45502</v>
      </c>
      <c r="E215" s="1" t="n">
        <v>46316</v>
      </c>
      <c r="F215" t="inlineStr">
        <is>
          <t>SKÅNE LÄN</t>
        </is>
      </c>
      <c r="G215" t="inlineStr">
        <is>
          <t>HÖRBY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46316</v>
      </c>
      <c r="F216" t="inlineStr">
        <is>
          <t>SKÅNE LÄN</t>
        </is>
      </c>
      <c r="G216" t="inlineStr">
        <is>
          <t>HÖRBY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45051</v>
      </c>
      <c r="E217" s="1" t="n">
        <v>46316</v>
      </c>
      <c r="F217" t="inlineStr">
        <is>
          <t>SKÅNE LÄN</t>
        </is>
      </c>
      <c r="G217" t="inlineStr">
        <is>
          <t>HÖRBY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28746-2024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46316</v>
      </c>
      <c r="F218" t="inlineStr">
        <is>
          <t>SKÅNE LÄN</t>
        </is>
      </c>
      <c r="G218" t="inlineStr">
        <is>
          <t>HÖRBY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42950-2026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46310</v>
      </c>
      <c r="E219" s="1" t="n">
        <v>46316</v>
      </c>
      <c r="F219" t="inlineStr">
        <is>
          <t>SKÅNE LÄN</t>
        </is>
      </c>
      <c r="G219" t="inlineStr">
        <is>
          <t>HÖRBY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46316</v>
      </c>
      <c r="F220" t="inlineStr">
        <is>
          <t>SKÅNE LÄN</t>
        </is>
      </c>
      <c r="G220" t="inlineStr">
        <is>
          <t>HÖRBY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46076</v>
      </c>
      <c r="E221" s="1" t="n">
        <v>46316</v>
      </c>
      <c r="F221" t="inlineStr">
        <is>
          <t>SKÅNE LÄN</t>
        </is>
      </c>
      <c r="G221" t="inlineStr">
        <is>
          <t>HÖRBY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6558-2025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45699</v>
      </c>
      <c r="E222" s="1" t="n">
        <v>46316</v>
      </c>
      <c r="F222" t="inlineStr">
        <is>
          <t>SKÅNE LÄN</t>
        </is>
      </c>
      <c r="G222" t="inlineStr">
        <is>
          <t>HÖRBY</t>
        </is>
      </c>
      <c r="H222" t="inlineStr">
        <is>
          <t>Kommuner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46316</v>
      </c>
      <c r="F223" t="inlineStr">
        <is>
          <t>SKÅNE LÄN</t>
        </is>
      </c>
      <c r="G223" t="inlineStr">
        <is>
          <t>HÖRBY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44833</v>
      </c>
      <c r="E224" s="1" t="n">
        <v>46316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44814</v>
      </c>
      <c r="E225" s="1" t="n">
        <v>46316</v>
      </c>
      <c r="F225" t="inlineStr">
        <is>
          <t>SKÅNE LÄN</t>
        </is>
      </c>
      <c r="G225" t="inlineStr">
        <is>
          <t>HÖRBY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45224</v>
      </c>
      <c r="E226" s="1" t="n">
        <v>46316</v>
      </c>
      <c r="F226" t="inlineStr">
        <is>
          <t>SKÅNE LÄN</t>
        </is>
      </c>
      <c r="G226" t="inlineStr">
        <is>
          <t>HÖRBY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45673</v>
      </c>
      <c r="E227" s="1" t="n">
        <v>46316</v>
      </c>
      <c r="F227" t="inlineStr">
        <is>
          <t>SKÅNE LÄN</t>
        </is>
      </c>
      <c r="G227" t="inlineStr">
        <is>
          <t>HÖRBY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3888-2023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45230</v>
      </c>
      <c r="E228" s="1" t="n">
        <v>46316</v>
      </c>
      <c r="F228" t="inlineStr">
        <is>
          <t>SKÅNE LÄN</t>
        </is>
      </c>
      <c r="G228" t="inlineStr">
        <is>
          <t>HÖRBY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4691-2022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44796</v>
      </c>
      <c r="E229" s="1" t="n">
        <v>46316</v>
      </c>
      <c r="F229" t="inlineStr">
        <is>
          <t>SKÅNE LÄN</t>
        </is>
      </c>
      <c r="G229" t="inlineStr">
        <is>
          <t>HÖRBY</t>
        </is>
      </c>
      <c r="I229" t="n">
        <v>39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734-2025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45722</v>
      </c>
      <c r="E230" s="1" t="n">
        <v>46316</v>
      </c>
      <c r="F230" t="inlineStr">
        <is>
          <t>SKÅNE LÄN</t>
        </is>
      </c>
      <c r="G230" t="inlineStr">
        <is>
          <t>HÖRBY</t>
        </is>
      </c>
      <c r="I230" t="n">
        <v>27.4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144-2026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46042</v>
      </c>
      <c r="E231" s="1" t="n">
        <v>46316</v>
      </c>
      <c r="F231" t="inlineStr">
        <is>
          <t>SKÅNE LÄN</t>
        </is>
      </c>
      <c r="G231" t="inlineStr">
        <is>
          <t>HÖRBY</t>
        </is>
      </c>
      <c r="I231" t="n">
        <v>18.3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46316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46316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46316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220-2026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46051</v>
      </c>
      <c r="E235" s="1" t="n">
        <v>46316</v>
      </c>
      <c r="F235" t="inlineStr">
        <is>
          <t>SKÅNE LÄN</t>
        </is>
      </c>
      <c r="G235" t="inlineStr">
        <is>
          <t>HÖRBY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2026-10-21T02:06:40Z</dcterms:created>
  <dcterms:modified xmlns:dcterms="http://purl.org/dc/terms/" xmlns:xsi="http://www.w3.org/2001/XMLSchema-instance" xsi:type="dcterms:W3CDTF">2026-10-21T02:06:40Z</dcterms:modified>
</cp:coreProperties>
</file>