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46216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46216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46216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46216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46216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46216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46216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46216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s="2" t="inlineStr">
        <is>
          <t>Ask
Skogsknipprot
Blåsippa
Fläcknycklar
Grönvit nattviol</t>
        </is>
      </c>
      <c r="V9">
        <f>HYPERLINK("https://klasma.github.io/Logging_1266/artfynd/A 39855-2022 artfynd.xlsx", "A 39855-2022")</f>
        <v/>
      </c>
      <c r="W9">
        <f>HYPERLINK("https://klasma.github.io/Logging_1266/kartor/A 39855-2022 karta.png", "A 39855-2022")</f>
        <v/>
      </c>
      <c r="Y9">
        <f>HYPERLINK("https://klasma.github.io/Logging_1266/klagomål/A 39855-2022 FSC-klagomål.docx", "A 39855-2022")</f>
        <v/>
      </c>
      <c r="Z9">
        <f>HYPERLINK("https://klasma.github.io/Logging_1266/klagomålsmail/A 39855-2022 FSC-klagomål mail.docx", "A 39855-2022")</f>
        <v/>
      </c>
      <c r="AA9">
        <f>HYPERLINK("https://klasma.github.io/Logging_1266/tillsyn/A 39855-2022 tillsynsbegäran.docx", "A 39855-2022")</f>
        <v/>
      </c>
      <c r="AB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46216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Duvhök
Grönsångare
Sädesärla
Fjällvråk
Kungsfågel</t>
        </is>
      </c>
      <c r="V10">
        <f>HYPERLINK("https://klasma.github.io/Logging_1266/artfynd/A 31351-2022 artfynd.xlsx", "A 31351-2022")</f>
        <v/>
      </c>
      <c r="W10">
        <f>HYPERLINK("https://klasma.github.io/Logging_1266/kartor/A 31351-2022 karta.png", "A 31351-2022")</f>
        <v/>
      </c>
      <c r="Y10">
        <f>HYPERLINK("https://klasma.github.io/Logging_1266/klagomål/A 31351-2022 FSC-klagomål.docx", "A 31351-2022")</f>
        <v/>
      </c>
      <c r="Z10">
        <f>HYPERLINK("https://klasma.github.io/Logging_1266/klagomålsmail/A 31351-2022 FSC-klagomål mail.docx", "A 31351-2022")</f>
        <v/>
      </c>
      <c r="AA10">
        <f>HYPERLINK("https://klasma.github.io/Logging_1266/tillsyn/A 31351-2022 tillsynsbegäran.docx", "A 31351-2022")</f>
        <v/>
      </c>
      <c r="AB10">
        <f>HYPERLINK("https://klasma.github.io/Logging_1266/tillsynsmail/A 31351-2022 tillsynsbegäran mail.docx", "A 31351-2022")</f>
        <v/>
      </c>
      <c r="AC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46216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s="2" t="inlineStr">
        <is>
          <t>Slåttergubbe
Sydlig sotticka
Älg
Fiskgjuse
Större brunfladdermus</t>
        </is>
      </c>
      <c r="V11">
        <f>HYPERLINK("https://klasma.github.io/Logging_1266/artfynd/A 16520-2026 artfynd.xlsx", "A 16520-2026")</f>
        <v/>
      </c>
      <c r="W11">
        <f>HYPERLINK("https://klasma.github.io/Logging_1266/kartor/A 16520-2026 karta.png", "A 16520-2026")</f>
        <v/>
      </c>
      <c r="Y11">
        <f>HYPERLINK("https://klasma.github.io/Logging_1266/klagomål/A 16520-2026 FSC-klagomål.docx", "A 16520-2026")</f>
        <v/>
      </c>
      <c r="Z11">
        <f>HYPERLINK("https://klasma.github.io/Logging_1266/klagomålsmail/A 16520-2026 FSC-klagomål mail.docx", "A 16520-2026")</f>
        <v/>
      </c>
      <c r="AA11">
        <f>HYPERLINK("https://klasma.github.io/Logging_1266/tillsyn/A 16520-2026 tillsynsbegäran.docx", "A 16520-2026")</f>
        <v/>
      </c>
      <c r="AB11">
        <f>HYPERLINK("https://klasma.github.io/Logging_1266/tillsynsmail/A 16520-2026 tillsynsbegäran mail.docx", "A 16520-2026")</f>
        <v/>
      </c>
      <c r="AC11">
        <f>HYPERLINK("https://klasma.github.io/Logging_1266/fåglar/A 16520-2026 prioriterade fågelarter.docx", "A 16520-2026")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46216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s="2" t="inlineStr">
        <is>
          <t>Naverlönn
Ask
Skogsalm
Scharlakansskål
Stor häxört</t>
        </is>
      </c>
      <c r="V12">
        <f>HYPERLINK("https://klasma.github.io/Logging_1266/artfynd/A 20194-2024 artfynd.xlsx", "A 20194-2024")</f>
        <v/>
      </c>
      <c r="W12">
        <f>HYPERLINK("https://klasma.github.io/Logging_1266/kartor/A 20194-2024 karta.png", "A 20194-2024")</f>
        <v/>
      </c>
      <c r="Y12">
        <f>HYPERLINK("https://klasma.github.io/Logging_1266/klagomål/A 20194-2024 FSC-klagomål.docx", "A 20194-2024")</f>
        <v/>
      </c>
      <c r="Z12">
        <f>HYPERLINK("https://klasma.github.io/Logging_1266/klagomålsmail/A 20194-2024 FSC-klagomål mail.docx", "A 20194-2024")</f>
        <v/>
      </c>
      <c r="AA12">
        <f>HYPERLINK("https://klasma.github.io/Logging_1266/tillsyn/A 20194-2024 tillsynsbegäran.docx", "A 20194-2024")</f>
        <v/>
      </c>
      <c r="AB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46216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s="2" t="inlineStr">
        <is>
          <t>Violettkantad guldvinge
Granspira
Sotnätfjäril
Svinrot</t>
        </is>
      </c>
      <c r="V13">
        <f>HYPERLINK("https://klasma.github.io/Logging_1266/artfynd/A 21774-2026 artfynd.xlsx", "A 21774-2026")</f>
        <v/>
      </c>
      <c r="W13">
        <f>HYPERLINK("https://klasma.github.io/Logging_1266/kartor/A 21774-2026 karta.png", "A 21774-2026")</f>
        <v/>
      </c>
      <c r="Y13">
        <f>HYPERLINK("https://klasma.github.io/Logging_1266/klagomål/A 21774-2026 FSC-klagomål.docx", "A 21774-2026")</f>
        <v/>
      </c>
      <c r="Z13">
        <f>HYPERLINK("https://klasma.github.io/Logging_1266/klagomålsmail/A 21774-2026 FSC-klagomål mail.docx", "A 21774-2026")</f>
        <v/>
      </c>
      <c r="AA13">
        <f>HYPERLINK("https://klasma.github.io/Logging_1266/tillsyn/A 21774-2026 tillsynsbegäran.docx", "A 21774-2026")</f>
        <v/>
      </c>
      <c r="AB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46216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Y14">
        <f>HYPERLINK("https://klasma.github.io/Logging_1266/klagomål/A 38084-2024 FSC-klagomål.docx", "A 38084-2024")</f>
        <v/>
      </c>
      <c r="Z14">
        <f>HYPERLINK("https://klasma.github.io/Logging_1266/klagomålsmail/A 38084-2024 FSC-klagomål mail.docx", "A 38084-2024")</f>
        <v/>
      </c>
      <c r="AA14">
        <f>HYPERLINK("https://klasma.github.io/Logging_1266/tillsyn/A 38084-2024 tillsynsbegäran.docx", "A 38084-2024")</f>
        <v/>
      </c>
      <c r="AB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46216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s="2" t="inlineStr">
        <is>
          <t>Ask
Skogsalm
Gullpudra
Trubbfjädermossa</t>
        </is>
      </c>
      <c r="V15">
        <f>HYPERLINK("https://klasma.github.io/Logging_1266/artfynd/A 5619-2024 artfynd.xlsx", "A 5619-2024")</f>
        <v/>
      </c>
      <c r="W15">
        <f>HYPERLINK("https://klasma.github.io/Logging_1266/kartor/A 5619-2024 karta.png", "A 5619-2024")</f>
        <v/>
      </c>
      <c r="Y15">
        <f>HYPERLINK("https://klasma.github.io/Logging_1266/klagomål/A 5619-2024 FSC-klagomål.docx", "A 5619-2024")</f>
        <v/>
      </c>
      <c r="Z15">
        <f>HYPERLINK("https://klasma.github.io/Logging_1266/klagomålsmail/A 5619-2024 FSC-klagomål mail.docx", "A 5619-2024")</f>
        <v/>
      </c>
      <c r="AA15">
        <f>HYPERLINK("https://klasma.github.io/Logging_1266/tillsyn/A 5619-2024 tillsynsbegäran.docx", "A 5619-2024")</f>
        <v/>
      </c>
      <c r="AB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46216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Vårärt
Strutbräken
Vätteros</t>
        </is>
      </c>
      <c r="V16">
        <f>HYPERLINK("https://klasma.github.io/Logging_1266/artfynd/A 20193-2024 artfynd.xlsx", "A 20193-2024")</f>
        <v/>
      </c>
      <c r="W16">
        <f>HYPERLINK("https://klasma.github.io/Logging_1266/kartor/A 20193-2024 karta.png", "A 20193-2024")</f>
        <v/>
      </c>
      <c r="Y16">
        <f>HYPERLINK("https://klasma.github.io/Logging_1266/klagomål/A 20193-2024 FSC-klagomål.docx", "A 20193-2024")</f>
        <v/>
      </c>
      <c r="Z16">
        <f>HYPERLINK("https://klasma.github.io/Logging_1266/klagomålsmail/A 20193-2024 FSC-klagomål mail.docx", "A 20193-2024")</f>
        <v/>
      </c>
      <c r="AA16">
        <f>HYPERLINK("https://klasma.github.io/Logging_1266/tillsyn/A 20193-2024 tillsynsbegäran.docx", "A 20193-2024")</f>
        <v/>
      </c>
      <c r="AB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46216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s="2" t="inlineStr">
        <is>
          <t>Borsttåg
Grönvit nattviol
Revlummer</t>
        </is>
      </c>
      <c r="V17">
        <f>HYPERLINK("https://klasma.github.io/Logging_1266/artfynd/A 2823-2025 artfynd.xlsx", "A 2823-2025")</f>
        <v/>
      </c>
      <c r="W17">
        <f>HYPERLINK("https://klasma.github.io/Logging_1266/kartor/A 2823-2025 karta.png", "A 2823-2025")</f>
        <v/>
      </c>
      <c r="Y17">
        <f>HYPERLINK("https://klasma.github.io/Logging_1266/klagomål/A 2823-2025 FSC-klagomål.docx", "A 2823-2025")</f>
        <v/>
      </c>
      <c r="Z17">
        <f>HYPERLINK("https://klasma.github.io/Logging_1266/klagomålsmail/A 2823-2025 FSC-klagomål mail.docx", "A 2823-2025")</f>
        <v/>
      </c>
      <c r="AA17">
        <f>HYPERLINK("https://klasma.github.io/Logging_1266/tillsyn/A 2823-2025 tillsynsbegäran.docx", "A 2823-2025")</f>
        <v/>
      </c>
      <c r="AB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46216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Bokvårtlav
Sydlig sotticka
Västlig hakmossa</t>
        </is>
      </c>
      <c r="V18">
        <f>HYPERLINK("https://klasma.github.io/Logging_1266/artfynd/A 27738-2025 artfynd.xlsx", "A 27738-2025")</f>
        <v/>
      </c>
      <c r="W18">
        <f>HYPERLINK("https://klasma.github.io/Logging_1266/kartor/A 27738-2025 karta.png", "A 27738-2025")</f>
        <v/>
      </c>
      <c r="Y18">
        <f>HYPERLINK("https://klasma.github.io/Logging_1266/klagomål/A 27738-2025 FSC-klagomål.docx", "A 27738-2025")</f>
        <v/>
      </c>
      <c r="Z18">
        <f>HYPERLINK("https://klasma.github.io/Logging_1266/klagomålsmail/A 27738-2025 FSC-klagomål mail.docx", "A 27738-2025")</f>
        <v/>
      </c>
      <c r="AA18">
        <f>HYPERLINK("https://klasma.github.io/Logging_1266/tillsyn/A 27738-2025 tillsynsbegäran.docx", "A 27738-2025")</f>
        <v/>
      </c>
      <c r="AB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46216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Ask
Småvänderot
Platt fjädermossa</t>
        </is>
      </c>
      <c r="V19">
        <f>HYPERLINK("https://klasma.github.io/Logging_1266/artfynd/A 24801-2025 artfynd.xlsx", "A 24801-2025")</f>
        <v/>
      </c>
      <c r="W19">
        <f>HYPERLINK("https://klasma.github.io/Logging_1266/kartor/A 24801-2025 karta.png", "A 24801-2025")</f>
        <v/>
      </c>
      <c r="Y19">
        <f>HYPERLINK("https://klasma.github.io/Logging_1266/klagomål/A 24801-2025 FSC-klagomål.docx", "A 24801-2025")</f>
        <v/>
      </c>
      <c r="Z19">
        <f>HYPERLINK("https://klasma.github.io/Logging_1266/klagomålsmail/A 24801-2025 FSC-klagomål mail.docx", "A 24801-2025")</f>
        <v/>
      </c>
      <c r="AA19">
        <f>HYPERLINK("https://klasma.github.io/Logging_1266/tillsyn/A 24801-2025 tillsynsbegäran.docx", "A 24801-2025")</f>
        <v/>
      </c>
      <c r="AB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46216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s="2" t="inlineStr">
        <is>
          <t>Slåttergubbe
Borsttåg
Sotnätfjäril</t>
        </is>
      </c>
      <c r="V20">
        <f>HYPERLINK("https://klasma.github.io/Logging_1266/artfynd/A 24158-2022 artfynd.xlsx", "A 24158-2022")</f>
        <v/>
      </c>
      <c r="W20">
        <f>HYPERLINK("https://klasma.github.io/Logging_1266/kartor/A 24158-2022 karta.png", "A 24158-2022")</f>
        <v/>
      </c>
      <c r="Y20">
        <f>HYPERLINK("https://klasma.github.io/Logging_1266/klagomål/A 24158-2022 FSC-klagomål.docx", "A 24158-2022")</f>
        <v/>
      </c>
      <c r="Z20">
        <f>HYPERLINK("https://klasma.github.io/Logging_1266/klagomålsmail/A 24158-2022 FSC-klagomål mail.docx", "A 24158-2022")</f>
        <v/>
      </c>
      <c r="AA20">
        <f>HYPERLINK("https://klasma.github.io/Logging_1266/tillsyn/A 24158-2022 tillsynsbegäran.docx", "A 24158-2022")</f>
        <v/>
      </c>
      <c r="AB20">
        <f>HYPERLINK("https://klasma.github.io/Logging_1266/tillsynsmail/A 24158-2022 tillsynsbegäran mail.docx", "A 24158-2022")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46216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s="2" t="inlineStr">
        <is>
          <t>Ask
Grönvit nattviol</t>
        </is>
      </c>
      <c r="V21">
        <f>HYPERLINK("https://klasma.github.io/Logging_1266/artfynd/A 42724-2023 artfynd.xlsx", "A 42724-2023")</f>
        <v/>
      </c>
      <c r="W21">
        <f>HYPERLINK("https://klasma.github.io/Logging_1266/kartor/A 42724-2023 karta.png", "A 42724-2023")</f>
        <v/>
      </c>
      <c r="Y21">
        <f>HYPERLINK("https://klasma.github.io/Logging_1266/klagomål/A 42724-2023 FSC-klagomål.docx", "A 42724-2023")</f>
        <v/>
      </c>
      <c r="Z21">
        <f>HYPERLINK("https://klasma.github.io/Logging_1266/klagomålsmail/A 42724-2023 FSC-klagomål mail.docx", "A 42724-2023")</f>
        <v/>
      </c>
      <c r="AA21">
        <f>HYPERLINK("https://klasma.github.io/Logging_1266/tillsyn/A 42724-2023 tillsynsbegäran.docx", "A 42724-2023")</f>
        <v/>
      </c>
      <c r="AB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46216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s="2" t="inlineStr">
        <is>
          <t>Hedblomster
Skogslysing</t>
        </is>
      </c>
      <c r="V22">
        <f>HYPERLINK("https://klasma.github.io/Logging_1266/artfynd/A 824-2026 artfynd.xlsx", "A 824-2026")</f>
        <v/>
      </c>
      <c r="W22">
        <f>HYPERLINK("https://klasma.github.io/Logging_1266/kartor/A 824-2026 karta.png", "A 824-2026")</f>
        <v/>
      </c>
      <c r="Y22">
        <f>HYPERLINK("https://klasma.github.io/Logging_1266/klagomål/A 824-2026 FSC-klagomål.docx", "A 824-2026")</f>
        <v/>
      </c>
      <c r="Z22">
        <f>HYPERLINK("https://klasma.github.io/Logging_1266/klagomålsmail/A 824-2026 FSC-klagomål mail.docx", "A 824-2026")</f>
        <v/>
      </c>
      <c r="AA22">
        <f>HYPERLINK("https://klasma.github.io/Logging_1266/tillsyn/A 824-2026 tillsynsbegäran.docx", "A 824-2026")</f>
        <v/>
      </c>
      <c r="AB22">
        <f>HYPERLINK("https://klasma.github.io/Logging_1266/tillsynsmail/A 824-2026 tillsynsbegäran mail.docx", "A 824-2026")</f>
        <v/>
      </c>
    </row>
    <row r="23" ht="15" customHeight="1">
      <c r="A23" t="inlineStr">
        <is>
          <t>A 44135-2024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45572</v>
      </c>
      <c r="E23" s="1" t="n">
        <v>46216</v>
      </c>
      <c r="F23" t="inlineStr">
        <is>
          <t>SKÅNE LÄN</t>
        </is>
      </c>
      <c r="G23" t="inlineStr">
        <is>
          <t>HÖRBY</t>
        </is>
      </c>
      <c r="I23" t="n">
        <v>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Ladusvala
Vanlig padda</t>
        </is>
      </c>
      <c r="V23">
        <f>HYPERLINK("https://klasma.github.io/Logging_1266/artfynd/A 44135-2024 artfynd.xlsx", "A 44135-2024")</f>
        <v/>
      </c>
      <c r="W23">
        <f>HYPERLINK("https://klasma.github.io/Logging_1266/kartor/A 44135-2024 karta.png", "A 44135-2024")</f>
        <v/>
      </c>
      <c r="Y23">
        <f>HYPERLINK("https://klasma.github.io/Logging_1266/klagomål/A 44135-2024 FSC-klagomål.docx", "A 44135-2024")</f>
        <v/>
      </c>
      <c r="Z23">
        <f>HYPERLINK("https://klasma.github.io/Logging_1266/klagomålsmail/A 44135-2024 FSC-klagomål mail.docx", "A 44135-2024")</f>
        <v/>
      </c>
      <c r="AA23">
        <f>HYPERLINK("https://klasma.github.io/Logging_1266/tillsyn/A 44135-2024 tillsynsbegäran.docx", "A 44135-2024")</f>
        <v/>
      </c>
      <c r="AB23">
        <f>HYPERLINK("https://klasma.github.io/Logging_1266/tillsynsmail/A 44135-2024 tillsynsbegäran mail.docx", "A 44135-2024")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46216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46216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HYPERLINK("https://klasma.github.io/Logging_1266/artfynd/A 31115-2024 artfynd.xlsx", "A 31115-2024")</f>
        <v/>
      </c>
      <c r="W25">
        <f>HYPERLINK("https://klasma.github.io/Logging_1266/kartor/A 31115-2024 karta.png", "A 31115-2024")</f>
        <v/>
      </c>
      <c r="Y25">
        <f>HYPERLINK("https://klasma.github.io/Logging_1266/klagomål/A 31115-2024 FSC-klagomål.docx", "A 31115-2024")</f>
        <v/>
      </c>
      <c r="Z25">
        <f>HYPERLINK("https://klasma.github.io/Logging_1266/klagomålsmail/A 31115-2024 FSC-klagomål mail.docx", "A 31115-2024")</f>
        <v/>
      </c>
      <c r="AA25">
        <f>HYPERLINK("https://klasma.github.io/Logging_1266/tillsyn/A 31115-2024 tillsynsbegäran.docx", "A 31115-2024")</f>
        <v/>
      </c>
      <c r="AB25">
        <f>HYPERLINK("https://klasma.github.io/Logging_1266/tillsynsmail/A 31115-2024 tillsynsbegäran mail.docx", "A 31115-2024")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46216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Lundvårlök</t>
        </is>
      </c>
      <c r="V26">
        <f>HYPERLINK("https://klasma.github.io/Logging_1266/artfynd/A 25479-2025 artfynd.xlsx", "A 25479-2025")</f>
        <v/>
      </c>
      <c r="W26">
        <f>HYPERLINK("https://klasma.github.io/Logging_1266/kartor/A 25479-2025 karta.png", "A 25479-2025")</f>
        <v/>
      </c>
      <c r="Y26">
        <f>HYPERLINK("https://klasma.github.io/Logging_1266/klagomål/A 25479-2025 FSC-klagomål.docx", "A 25479-2025")</f>
        <v/>
      </c>
      <c r="Z26">
        <f>HYPERLINK("https://klasma.github.io/Logging_1266/klagomålsmail/A 25479-2025 FSC-klagomål mail.docx", "A 25479-2025")</f>
        <v/>
      </c>
      <c r="AA26">
        <f>HYPERLINK("https://klasma.github.io/Logging_1266/tillsyn/A 25479-2025 tillsynsbegäran.docx", "A 25479-2025")</f>
        <v/>
      </c>
      <c r="AB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46216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HYPERLINK("https://klasma.github.io/Logging_1266/artfynd/A 47612-2023 artfynd.xlsx", "A 47612-2023")</f>
        <v/>
      </c>
      <c r="W27">
        <f>HYPERLINK("https://klasma.github.io/Logging_1266/kartor/A 47612-2023 karta.png", "A 47612-2023")</f>
        <v/>
      </c>
      <c r="Y27">
        <f>HYPERLINK("https://klasma.github.io/Logging_1266/klagomål/A 47612-2023 FSC-klagomål.docx", "A 47612-2023")</f>
        <v/>
      </c>
      <c r="Z27">
        <f>HYPERLINK("https://klasma.github.io/Logging_1266/klagomålsmail/A 47612-2023 FSC-klagomål mail.docx", "A 47612-2023")</f>
        <v/>
      </c>
      <c r="AA27">
        <f>HYPERLINK("https://klasma.github.io/Logging_1266/tillsyn/A 47612-2023 tillsynsbegäran.docx", "A 47612-2023")</f>
        <v/>
      </c>
      <c r="AB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46216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HYPERLINK("https://klasma.github.io/Logging_1266/artfynd/A 40376-2023 artfynd.xlsx", "A 40376-2023")</f>
        <v/>
      </c>
      <c r="W28">
        <f>HYPERLINK("https://klasma.github.io/Logging_1266/kartor/A 40376-2023 karta.png", "A 40376-2023")</f>
        <v/>
      </c>
      <c r="Y28">
        <f>HYPERLINK("https://klasma.github.io/Logging_1266/klagomål/A 40376-2023 FSC-klagomål.docx", "A 40376-2023")</f>
        <v/>
      </c>
      <c r="Z28">
        <f>HYPERLINK("https://klasma.github.io/Logging_1266/klagomålsmail/A 40376-2023 FSC-klagomål mail.docx", "A 40376-2023")</f>
        <v/>
      </c>
      <c r="AA28">
        <f>HYPERLINK("https://klasma.github.io/Logging_1266/tillsyn/A 40376-2023 tillsynsbegäran.docx", "A 40376-2023")</f>
        <v/>
      </c>
      <c r="AB28">
        <f>HYPERLINK("https://klasma.github.io/Logging_1266/tillsynsmail/A 40376-2023 tillsynsbegäran mail.docx", "A 40376-2023")</f>
        <v/>
      </c>
      <c r="AC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46216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HYPERLINK("https://klasma.github.io/Logging_1266/artfynd/A 113-2023 artfynd.xlsx", "A 113-2023")</f>
        <v/>
      </c>
      <c r="W29">
        <f>HYPERLINK("https://klasma.github.io/Logging_1266/kartor/A 113-2023 karta.png", "A 113-2023")</f>
        <v/>
      </c>
      <c r="Y29">
        <f>HYPERLINK("https://klasma.github.io/Logging_1266/klagomål/A 113-2023 FSC-klagomål.docx", "A 113-2023")</f>
        <v/>
      </c>
      <c r="Z29">
        <f>HYPERLINK("https://klasma.github.io/Logging_1266/klagomålsmail/A 113-2023 FSC-klagomål mail.docx", "A 113-2023")</f>
        <v/>
      </c>
      <c r="AA29">
        <f>HYPERLINK("https://klasma.github.io/Logging_1266/tillsyn/A 113-2023 tillsynsbegäran.docx", "A 113-2023")</f>
        <v/>
      </c>
      <c r="AB29">
        <f>HYPERLINK("https://klasma.github.io/Logging_1266/tillsynsmail/A 113-2023 tillsynsbegäran mail.docx", "A 113-2023")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46216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Tandrot</t>
        </is>
      </c>
      <c r="V30">
        <f>HYPERLINK("https://klasma.github.io/Logging_1266/artfynd/A 24823-2026 artfynd.xlsx", "A 24823-2026")</f>
        <v/>
      </c>
      <c r="W30">
        <f>HYPERLINK("https://klasma.github.io/Logging_1266/kartor/A 24823-2026 karta.png", "A 24823-2026")</f>
        <v/>
      </c>
      <c r="Y30">
        <f>HYPERLINK("https://klasma.github.io/Logging_1266/klagomål/A 24823-2026 FSC-klagomål.docx", "A 24823-2026")</f>
        <v/>
      </c>
      <c r="Z30">
        <f>HYPERLINK("https://klasma.github.io/Logging_1266/klagomålsmail/A 24823-2026 FSC-klagomål mail.docx", "A 24823-2026")</f>
        <v/>
      </c>
      <c r="AA30">
        <f>HYPERLINK("https://klasma.github.io/Logging_1266/tillsyn/A 24823-2026 tillsynsbegäran.docx", "A 24823-2026")</f>
        <v/>
      </c>
      <c r="AB30">
        <f>HYPERLINK("https://klasma.github.io/Logging_1266/tillsynsmail/A 24823-2026 tillsynsbegäran mail.docx", "A 24823-2026")</f>
        <v/>
      </c>
    </row>
    <row r="31" ht="15" customHeight="1">
      <c r="A31" t="inlineStr">
        <is>
          <t>A 25833-2024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46216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Slåttergubbe</t>
        </is>
      </c>
      <c r="V31">
        <f>HYPERLINK("https://klasma.github.io/Logging_1266/artfynd/A 25833-2024 artfynd.xlsx", "A 25833-2024")</f>
        <v/>
      </c>
      <c r="W31">
        <f>HYPERLINK("https://klasma.github.io/Logging_1266/kartor/A 25833-2024 karta.png", "A 25833-2024")</f>
        <v/>
      </c>
      <c r="Y31">
        <f>HYPERLINK("https://klasma.github.io/Logging_1266/klagomål/A 25833-2024 FSC-klagomål.docx", "A 25833-2024")</f>
        <v/>
      </c>
      <c r="Z31">
        <f>HYPERLINK("https://klasma.github.io/Logging_1266/klagomålsmail/A 25833-2024 FSC-klagomål mail.docx", "A 25833-2024")</f>
        <v/>
      </c>
      <c r="AA31">
        <f>HYPERLINK("https://klasma.github.io/Logging_1266/tillsyn/A 25833-2024 tillsynsbegäran.docx", "A 25833-2024")</f>
        <v/>
      </c>
      <c r="AB31">
        <f>HYPERLINK("https://klasma.github.io/Logging_1266/tillsynsmail/A 25833-2024 tillsynsbegäran mail.docx", "A 25833-2024")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46216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Ekticka</t>
        </is>
      </c>
      <c r="V32">
        <f>HYPERLINK("https://klasma.github.io/Logging_1266/artfynd/A 29129-2026 artfynd.xlsx", "A 29129-2026")</f>
        <v/>
      </c>
      <c r="W32">
        <f>HYPERLINK("https://klasma.github.io/Logging_1266/kartor/A 29129-2026 karta.png", "A 29129-2026")</f>
        <v/>
      </c>
      <c r="Y32">
        <f>HYPERLINK("https://klasma.github.io/Logging_1266/klagomål/A 29129-2026 FSC-klagomål.docx", "A 29129-2026")</f>
        <v/>
      </c>
      <c r="Z32">
        <f>HYPERLINK("https://klasma.github.io/Logging_1266/klagomålsmail/A 29129-2026 FSC-klagomål mail.docx", "A 29129-2026")</f>
        <v/>
      </c>
      <c r="AA32">
        <f>HYPERLINK("https://klasma.github.io/Logging_1266/tillsyn/A 29129-2026 tillsynsbegäran.docx", "A 29129-2026")</f>
        <v/>
      </c>
      <c r="AB32">
        <f>HYPERLINK("https://klasma.github.io/Logging_1266/tillsynsmail/A 29129-2026 tillsynsbegäran mail.docx", "A 29129-2026")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46216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HYPERLINK("https://klasma.github.io/Logging_1266/artfynd/A 30165-2026 artfynd.xlsx", "A 30165-2026")</f>
        <v/>
      </c>
      <c r="W33">
        <f>HYPERLINK("https://klasma.github.io/Logging_1266/kartor/A 30165-2026 karta.png", "A 30165-2026")</f>
        <v/>
      </c>
      <c r="Y33">
        <f>HYPERLINK("https://klasma.github.io/Logging_1266/klagomål/A 30165-2026 FSC-klagomål.docx", "A 30165-2026")</f>
        <v/>
      </c>
      <c r="Z33">
        <f>HYPERLINK("https://klasma.github.io/Logging_1266/klagomålsmail/A 30165-2026 FSC-klagomål mail.docx", "A 30165-2026")</f>
        <v/>
      </c>
      <c r="AA33">
        <f>HYPERLINK("https://klasma.github.io/Logging_1266/tillsyn/A 30165-2026 tillsynsbegäran.docx", "A 30165-2026")</f>
        <v/>
      </c>
      <c r="AB33">
        <f>HYPERLINK("https://klasma.github.io/Logging_1266/tillsynsmail/A 30165-2026 tillsynsbegäran mail.docx", "A 30165-2026")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46216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HYPERLINK("https://klasma.github.io/Logging_1266/artfynd/A 16519-2026 artfynd.xlsx", "A 16519-2026")</f>
        <v/>
      </c>
      <c r="W34">
        <f>HYPERLINK("https://klasma.github.io/Logging_1266/kartor/A 16519-2026 karta.png", "A 16519-2026")</f>
        <v/>
      </c>
      <c r="Y34">
        <f>HYPERLINK("https://klasma.github.io/Logging_1266/klagomål/A 16519-2026 FSC-klagomål.docx", "A 16519-2026")</f>
        <v/>
      </c>
      <c r="Z34">
        <f>HYPERLINK("https://klasma.github.io/Logging_1266/klagomålsmail/A 16519-2026 FSC-klagomål mail.docx", "A 16519-2026")</f>
        <v/>
      </c>
      <c r="AA34">
        <f>HYPERLINK("https://klasma.github.io/Logging_1266/tillsyn/A 16519-2026 tillsynsbegäran.docx", "A 16519-2026")</f>
        <v/>
      </c>
      <c r="AB34">
        <f>HYPERLINK("https://klasma.github.io/Logging_1266/tillsynsmail/A 16519-2026 tillsynsbegäran mail.docx", "A 16519-2026")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46216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Gröngöling</t>
        </is>
      </c>
      <c r="V35">
        <f>HYPERLINK("https://klasma.github.io/Logging_1266/artfynd/A 21713-2025 artfynd.xlsx", "A 21713-2025")</f>
        <v/>
      </c>
      <c r="W35">
        <f>HYPERLINK("https://klasma.github.io/Logging_1266/kartor/A 21713-2025 karta.png", "A 21713-2025")</f>
        <v/>
      </c>
      <c r="Y35">
        <f>HYPERLINK("https://klasma.github.io/Logging_1266/klagomål/A 21713-2025 FSC-klagomål.docx", "A 21713-2025")</f>
        <v/>
      </c>
      <c r="Z35">
        <f>HYPERLINK("https://klasma.github.io/Logging_1266/klagomålsmail/A 21713-2025 FSC-klagomål mail.docx", "A 21713-2025")</f>
        <v/>
      </c>
      <c r="AA35">
        <f>HYPERLINK("https://klasma.github.io/Logging_1266/tillsyn/A 21713-2025 tillsynsbegäran.docx", "A 21713-2025")</f>
        <v/>
      </c>
      <c r="AB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46216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Kambräken</t>
        </is>
      </c>
      <c r="V36">
        <f>HYPERLINK("https://klasma.github.io/Logging_1266/artfynd/S 2020-2023 artfynd.xlsx", "S 2020-2023")</f>
        <v/>
      </c>
      <c r="W36">
        <f>HYPERLINK("https://klasma.github.io/Logging_1266/kartor/S 2020-2023 karta.png", "S 2020-2023")</f>
        <v/>
      </c>
      <c r="Y36">
        <f>HYPERLINK("https://klasma.github.io/Logging_1266/klagomål/S 2020-2023 FSC-klagomål.docx", "S 2020-2023")</f>
        <v/>
      </c>
      <c r="Z36">
        <f>HYPERLINK("https://klasma.github.io/Logging_1266/klagomålsmail/S 2020-2023 FSC-klagomål mail.docx", "S 2020-2023")</f>
        <v/>
      </c>
      <c r="AA36">
        <f>HYPERLINK("https://klasma.github.io/Logging_1266/tillsyn/S 2020-2023 tillsynsbegäran.docx", "S 2020-2023")</f>
        <v/>
      </c>
      <c r="AB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46216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Kransrams</t>
        </is>
      </c>
      <c r="V37">
        <f>HYPERLINK("https://klasma.github.io/Logging_1266/artfynd/S 913-2023 artfynd.xlsx", "S 913-2023")</f>
        <v/>
      </c>
      <c r="W37">
        <f>HYPERLINK("https://klasma.github.io/Logging_1266/kartor/S 913-2023 karta.png", "S 913-2023")</f>
        <v/>
      </c>
      <c r="Y37">
        <f>HYPERLINK("https://klasma.github.io/Logging_1266/klagomål/S 913-2023 FSC-klagomål.docx", "S 913-2023")</f>
        <v/>
      </c>
      <c r="Z37">
        <f>HYPERLINK("https://klasma.github.io/Logging_1266/klagomålsmail/S 913-2023 FSC-klagomål mail.docx", "S 913-2023")</f>
        <v/>
      </c>
      <c r="AA37">
        <f>HYPERLINK("https://klasma.github.io/Logging_1266/tillsyn/S 913-2023 tillsynsbegäran.docx", "S 913-2023")</f>
        <v/>
      </c>
      <c r="AB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46216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46216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46216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46216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46216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46216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46216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46216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46216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46216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46216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24670-2024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45460</v>
      </c>
      <c r="E49" s="1" t="n">
        <v>46216</v>
      </c>
      <c r="F49" t="inlineStr">
        <is>
          <t>SKÅNE LÄN</t>
        </is>
      </c>
      <c r="G49" t="inlineStr">
        <is>
          <t>HÖRBY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46216</v>
      </c>
      <c r="F50" t="inlineStr">
        <is>
          <t>SKÅNE LÄN</t>
        </is>
      </c>
      <c r="G50" t="inlineStr">
        <is>
          <t>HÖRBY</t>
        </is>
      </c>
      <c r="H50" t="inlineStr">
        <is>
          <t>Kyrkan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46216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46216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46216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46216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31596-2023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46216</v>
      </c>
      <c r="F55" t="inlineStr">
        <is>
          <t>SKÅNE LÄN</t>
        </is>
      </c>
      <c r="G55" t="inlineStr">
        <is>
          <t>HÖRBY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46216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46216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28785-2023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45104</v>
      </c>
      <c r="E58" s="1" t="n">
        <v>46216</v>
      </c>
      <c r="F58" t="inlineStr">
        <is>
          <t>SKÅNE LÄN</t>
        </is>
      </c>
      <c r="G58" t="inlineStr">
        <is>
          <t>HÖRBY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16101-2025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46216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46216</v>
      </c>
      <c r="F60" t="inlineStr">
        <is>
          <t>SKÅNE LÄN</t>
        </is>
      </c>
      <c r="G60" t="inlineStr">
        <is>
          <t>HÖRBY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46216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46216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46216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33358-2023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46216</v>
      </c>
      <c r="F64" t="inlineStr">
        <is>
          <t>SKÅNE LÄN</t>
        </is>
      </c>
      <c r="G64" t="inlineStr">
        <is>
          <t>HÖRBY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46216</v>
      </c>
      <c r="F65" t="inlineStr">
        <is>
          <t>SKÅNE LÄN</t>
        </is>
      </c>
      <c r="G65" t="inlineStr">
        <is>
          <t>HÖRBY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16665-2025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46216</v>
      </c>
      <c r="F66" t="inlineStr">
        <is>
          <t>SKÅNE LÄN</t>
        </is>
      </c>
      <c r="G66" t="inlineStr">
        <is>
          <t>HÖRBY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46216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43711-2024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45569</v>
      </c>
      <c r="E68" s="1" t="n">
        <v>46216</v>
      </c>
      <c r="F68" t="inlineStr">
        <is>
          <t>SKÅNE LÄN</t>
        </is>
      </c>
      <c r="G68" t="inlineStr">
        <is>
          <t>HÖRBY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45166</v>
      </c>
      <c r="E69" s="1" t="n">
        <v>46216</v>
      </c>
      <c r="F69" t="inlineStr">
        <is>
          <t>SKÅNE LÄN</t>
        </is>
      </c>
      <c r="G69" t="inlineStr">
        <is>
          <t>HÖRBY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23484-2025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46216</v>
      </c>
      <c r="F70" t="inlineStr">
        <is>
          <t>SKÅNE LÄN</t>
        </is>
      </c>
      <c r="G70" t="inlineStr">
        <is>
          <t>HÖRBY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39507-2024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45551</v>
      </c>
      <c r="E71" s="1" t="n">
        <v>46216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46216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46029</v>
      </c>
      <c r="E73" s="1" t="n">
        <v>46216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46216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829-2026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46216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46216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9974-2024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45363</v>
      </c>
      <c r="E77" s="1" t="n">
        <v>46216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11943-2025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46216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42715-2023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45176</v>
      </c>
      <c r="E79" s="1" t="n">
        <v>46216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45818</v>
      </c>
      <c r="E80" s="1" t="n">
        <v>46216</v>
      </c>
      <c r="F80" t="inlineStr">
        <is>
          <t>SKÅNE LÄN</t>
        </is>
      </c>
      <c r="G80" t="inlineStr">
        <is>
          <t>HÖRBY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28918-2023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46216</v>
      </c>
      <c r="F81" t="inlineStr">
        <is>
          <t>SKÅNE LÄN</t>
        </is>
      </c>
      <c r="G81" t="inlineStr">
        <is>
          <t>HÖRBY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9612-2025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46216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1989-2026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46035</v>
      </c>
      <c r="E83" s="1" t="n">
        <v>46216</v>
      </c>
      <c r="F83" t="inlineStr">
        <is>
          <t>SKÅNE LÄN</t>
        </is>
      </c>
      <c r="G83" t="inlineStr">
        <is>
          <t>HÖRBY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29244-2025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46216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29354-2025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46216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43932-2023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46216</v>
      </c>
      <c r="F86" t="inlineStr">
        <is>
          <t>SKÅNE LÄN</t>
        </is>
      </c>
      <c r="G86" t="inlineStr">
        <is>
          <t>HÖRBY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43935-2023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45187</v>
      </c>
      <c r="E87" s="1" t="n">
        <v>46216</v>
      </c>
      <c r="F87" t="inlineStr">
        <is>
          <t>SKÅNE LÄN</t>
        </is>
      </c>
      <c r="G87" t="inlineStr">
        <is>
          <t>HÖRBY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46216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46216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44944</v>
      </c>
      <c r="E90" s="1" t="n">
        <v>46216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46216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32958-2025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46216</v>
      </c>
      <c r="F92" t="inlineStr">
        <is>
          <t>SKÅNE LÄN</t>
        </is>
      </c>
      <c r="G92" t="inlineStr">
        <is>
          <t>HÖRBY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46216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32459-2025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46216</v>
      </c>
      <c r="F94" t="inlineStr">
        <is>
          <t>SKÅNE LÄN</t>
        </is>
      </c>
      <c r="G94" t="inlineStr">
        <is>
          <t>HÖRBY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46216</v>
      </c>
      <c r="F95" t="inlineStr">
        <is>
          <t>SKÅNE LÄN</t>
        </is>
      </c>
      <c r="G95" t="inlineStr">
        <is>
          <t>HÖRBY</t>
        </is>
      </c>
      <c r="H95" t="inlineStr">
        <is>
          <t>Kyrkan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46216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46216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37756-2024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46216</v>
      </c>
      <c r="F98" t="inlineStr">
        <is>
          <t>SKÅNE LÄN</t>
        </is>
      </c>
      <c r="G98" t="inlineStr">
        <is>
          <t>HÖRBY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13225-2024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46216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13226-2024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46216</v>
      </c>
      <c r="F100" t="inlineStr">
        <is>
          <t>SKÅNE LÄN</t>
        </is>
      </c>
      <c r="G100" t="inlineStr">
        <is>
          <t>HÖRBY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47552-2023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46216</v>
      </c>
      <c r="F101" t="inlineStr">
        <is>
          <t>SKÅNE LÄN</t>
        </is>
      </c>
      <c r="G101" t="inlineStr">
        <is>
          <t>HÖRBY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36355-2025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45868</v>
      </c>
      <c r="E102" s="1" t="n">
        <v>46216</v>
      </c>
      <c r="F102" t="inlineStr">
        <is>
          <t>SKÅNE LÄN</t>
        </is>
      </c>
      <c r="G102" t="inlineStr">
        <is>
          <t>HÖRBY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36362-2025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46216</v>
      </c>
      <c r="F103" t="inlineStr">
        <is>
          <t>SKÅNE LÄN</t>
        </is>
      </c>
      <c r="G103" t="inlineStr">
        <is>
          <t>HÖRBY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18360-2025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46216</v>
      </c>
      <c r="F104" t="inlineStr">
        <is>
          <t>SKÅNE LÄN</t>
        </is>
      </c>
      <c r="G104" t="inlineStr">
        <is>
          <t>HÖRBY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46216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45803</v>
      </c>
      <c r="E106" s="1" t="n">
        <v>46216</v>
      </c>
      <c r="F106" t="inlineStr">
        <is>
          <t>SKÅNE LÄN</t>
        </is>
      </c>
      <c r="G106" t="inlineStr">
        <is>
          <t>HÖRBY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37082-2023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45155</v>
      </c>
      <c r="E107" s="1" t="n">
        <v>46216</v>
      </c>
      <c r="F107" t="inlineStr">
        <is>
          <t>SKÅNE LÄN</t>
        </is>
      </c>
      <c r="G107" t="inlineStr">
        <is>
          <t>HÖRBY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45226</v>
      </c>
      <c r="E108" s="1" t="n">
        <v>46216</v>
      </c>
      <c r="F108" t="inlineStr">
        <is>
          <t>SKÅNE LÄN</t>
        </is>
      </c>
      <c r="G108" t="inlineStr">
        <is>
          <t>HÖRBY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34147-2025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46216</v>
      </c>
      <c r="F109" t="inlineStr">
        <is>
          <t>SKÅNE LÄN</t>
        </is>
      </c>
      <c r="G109" t="inlineStr">
        <is>
          <t>HÖRBY</t>
        </is>
      </c>
      <c r="I109" t="n">
        <v>18.7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50200-2025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46216</v>
      </c>
      <c r="F110" t="inlineStr">
        <is>
          <t>SKÅNE LÄN</t>
        </is>
      </c>
      <c r="G110" t="inlineStr">
        <is>
          <t>HÖRBY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46038</v>
      </c>
      <c r="E111" s="1" t="n">
        <v>46216</v>
      </c>
      <c r="F111" t="inlineStr">
        <is>
          <t>SKÅNE LÄN</t>
        </is>
      </c>
      <c r="G111" t="inlineStr">
        <is>
          <t>HÖRBY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28625-2023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46216</v>
      </c>
      <c r="F112" t="inlineStr">
        <is>
          <t>SKÅNE LÄN</t>
        </is>
      </c>
      <c r="G112" t="inlineStr">
        <is>
          <t>HÖRBY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38147-2025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46216</v>
      </c>
      <c r="F113" t="inlineStr">
        <is>
          <t>SKÅNE LÄN</t>
        </is>
      </c>
      <c r="G113" t="inlineStr">
        <is>
          <t>HÖRBY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51757-2025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45951</v>
      </c>
      <c r="E114" s="1" t="n">
        <v>46216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38080-2024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46216</v>
      </c>
      <c r="F115" t="inlineStr">
        <is>
          <t>SKÅNE LÄN</t>
        </is>
      </c>
      <c r="G115" t="inlineStr">
        <is>
          <t>HÖRBY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52930-2025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46216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52929-2025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46216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13633-2024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46216</v>
      </c>
      <c r="F118" t="inlineStr">
        <is>
          <t>SKÅNE LÄN</t>
        </is>
      </c>
      <c r="G118" t="inlineStr">
        <is>
          <t>HÖRBY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44816-2023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45190</v>
      </c>
      <c r="E119" s="1" t="n">
        <v>46216</v>
      </c>
      <c r="F119" t="inlineStr">
        <is>
          <t>SKÅNE LÄN</t>
        </is>
      </c>
      <c r="G119" t="inlineStr">
        <is>
          <t>HÖRBY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46216</v>
      </c>
      <c r="F120" t="inlineStr">
        <is>
          <t>SKÅNE LÄN</t>
        </is>
      </c>
      <c r="G120" t="inlineStr">
        <is>
          <t>HÖRBY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46216</v>
      </c>
      <c r="F121" t="inlineStr">
        <is>
          <t>SKÅNE LÄN</t>
        </is>
      </c>
      <c r="G121" t="inlineStr">
        <is>
          <t>HÖRBY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46216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54765-2025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46216</v>
      </c>
      <c r="F123" t="inlineStr">
        <is>
          <t>SKÅNE LÄN</t>
        </is>
      </c>
      <c r="G123" t="inlineStr">
        <is>
          <t>HÖRBY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43879-2023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46216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46050</v>
      </c>
      <c r="E125" s="1" t="n">
        <v>46216</v>
      </c>
      <c r="F125" t="inlineStr">
        <is>
          <t>SKÅNE LÄN</t>
        </is>
      </c>
      <c r="G125" t="inlineStr">
        <is>
          <t>HÖRBY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6350-2026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46216</v>
      </c>
      <c r="F126" t="inlineStr">
        <is>
          <t>SKÅNE LÄN</t>
        </is>
      </c>
      <c r="G126" t="inlineStr">
        <is>
          <t>HÖRBY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55304-2025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45970</v>
      </c>
      <c r="E127" s="1" t="n">
        <v>46216</v>
      </c>
      <c r="F127" t="inlineStr">
        <is>
          <t>SKÅNE LÄN</t>
        </is>
      </c>
      <c r="G127" t="inlineStr">
        <is>
          <t>HÖRBY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55306-2025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45970</v>
      </c>
      <c r="E128" s="1" t="n">
        <v>46216</v>
      </c>
      <c r="F128" t="inlineStr">
        <is>
          <t>SKÅNE LÄN</t>
        </is>
      </c>
      <c r="G128" t="inlineStr">
        <is>
          <t>HÖRBY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40994-2025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46216</v>
      </c>
      <c r="F129" t="inlineStr">
        <is>
          <t>SKÅNE LÄN</t>
        </is>
      </c>
      <c r="G129" t="inlineStr">
        <is>
          <t>HÖRBY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46216</v>
      </c>
      <c r="F130" t="inlineStr">
        <is>
          <t>SKÅNE LÄN</t>
        </is>
      </c>
      <c r="G130" t="inlineStr">
        <is>
          <t>HÖRBY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47609-2023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45203</v>
      </c>
      <c r="E131" s="1" t="n">
        <v>46216</v>
      </c>
      <c r="F131" t="inlineStr">
        <is>
          <t>SKÅNE LÄN</t>
        </is>
      </c>
      <c r="G131" t="inlineStr">
        <is>
          <t>HÖRBY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45979</v>
      </c>
      <c r="E132" s="1" t="n">
        <v>46216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43882-2023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46216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23328-2023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45076</v>
      </c>
      <c r="E134" s="1" t="n">
        <v>46216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67426-2021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44523</v>
      </c>
      <c r="E135" s="1" t="n">
        <v>46216</v>
      </c>
      <c r="F135" t="inlineStr">
        <is>
          <t>SKÅNE LÄN</t>
        </is>
      </c>
      <c r="G135" t="inlineStr">
        <is>
          <t>HÖRBY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59308-2025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46216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46216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59284-2025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45988</v>
      </c>
      <c r="E138" s="1" t="n">
        <v>46216</v>
      </c>
      <c r="F138" t="inlineStr">
        <is>
          <t>SKÅNE LÄN</t>
        </is>
      </c>
      <c r="G138" t="inlineStr">
        <is>
          <t>HÖRBY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46064</v>
      </c>
      <c r="E139" s="1" t="n">
        <v>46216</v>
      </c>
      <c r="F139" t="inlineStr">
        <is>
          <t>SKÅNE LÄN</t>
        </is>
      </c>
      <c r="G139" t="inlineStr">
        <is>
          <t>HÖRBY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8260-2026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46064</v>
      </c>
      <c r="E140" s="1" t="n">
        <v>46216</v>
      </c>
      <c r="F140" t="inlineStr">
        <is>
          <t>SKÅNE LÄN</t>
        </is>
      </c>
      <c r="G140" t="inlineStr">
        <is>
          <t>HÖRBY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60963-2023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46216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8259-2026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46216</v>
      </c>
      <c r="F142" t="inlineStr">
        <is>
          <t>SKÅNE LÄN</t>
        </is>
      </c>
      <c r="G142" t="inlineStr">
        <is>
          <t>HÖRBY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43685-2022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44837</v>
      </c>
      <c r="E143" s="1" t="n">
        <v>46216</v>
      </c>
      <c r="F143" t="inlineStr">
        <is>
          <t>SKÅNE LÄN</t>
        </is>
      </c>
      <c r="G143" t="inlineStr">
        <is>
          <t>HÖRBY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10110-2026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46074</v>
      </c>
      <c r="E144" s="1" t="n">
        <v>46216</v>
      </c>
      <c r="F144" t="inlineStr">
        <is>
          <t>SKÅNE LÄN</t>
        </is>
      </c>
      <c r="G144" t="inlineStr">
        <is>
          <t>HÖRBY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46216</v>
      </c>
      <c r="F145" t="inlineStr">
        <is>
          <t>SKÅNE LÄN</t>
        </is>
      </c>
      <c r="G145" t="inlineStr">
        <is>
          <t>HÖRBY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62277-2025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46216</v>
      </c>
      <c r="F146" t="inlineStr">
        <is>
          <t>SKÅNE LÄN</t>
        </is>
      </c>
      <c r="G146" t="inlineStr">
        <is>
          <t>HÖRBY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46216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46216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18603-2025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45763</v>
      </c>
      <c r="E149" s="1" t="n">
        <v>46216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46216</v>
      </c>
      <c r="F150" t="inlineStr">
        <is>
          <t>SKÅNE LÄN</t>
        </is>
      </c>
      <c r="G150" t="inlineStr">
        <is>
          <t>HÖRBY</t>
        </is>
      </c>
      <c r="H150" t="inlineStr">
        <is>
          <t>Kyrkan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20595-2024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46216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43937-2023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46216</v>
      </c>
      <c r="F152" t="inlineStr">
        <is>
          <t>SKÅNE LÄN</t>
        </is>
      </c>
      <c r="G152" t="inlineStr">
        <is>
          <t>HÖRBY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43939-2023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46216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28501-2023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46216</v>
      </c>
      <c r="F154" t="inlineStr">
        <is>
          <t>SKÅNE LÄN</t>
        </is>
      </c>
      <c r="G154" t="inlineStr">
        <is>
          <t>HÖRBY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28527-2023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46216</v>
      </c>
      <c r="F155" t="inlineStr">
        <is>
          <t>SKÅNE LÄN</t>
        </is>
      </c>
      <c r="G155" t="inlineStr">
        <is>
          <t>HÖRBY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54894-2023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46216</v>
      </c>
      <c r="F156" t="inlineStr">
        <is>
          <t>SKÅNE LÄN</t>
        </is>
      </c>
      <c r="G156" t="inlineStr">
        <is>
          <t>HÖRBY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14307-2026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46099</v>
      </c>
      <c r="E157" s="1" t="n">
        <v>46216</v>
      </c>
      <c r="F157" t="inlineStr">
        <is>
          <t>SKÅNE LÄN</t>
        </is>
      </c>
      <c r="G157" t="inlineStr">
        <is>
          <t>HÖRBY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37276-2024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46216</v>
      </c>
      <c r="F158" t="inlineStr">
        <is>
          <t>SKÅNE LÄN</t>
        </is>
      </c>
      <c r="G158" t="inlineStr">
        <is>
          <t>HÖRBY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46216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46216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46216</v>
      </c>
      <c r="F161" t="inlineStr">
        <is>
          <t>SKÅNE LÄN</t>
        </is>
      </c>
      <c r="G161" t="inlineStr">
        <is>
          <t>HÖRBY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9850-2026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46216</v>
      </c>
      <c r="F162" t="inlineStr">
        <is>
          <t>SKÅNE LÄN</t>
        </is>
      </c>
      <c r="G162" t="inlineStr">
        <is>
          <t>HÖRBY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36689-2024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45537</v>
      </c>
      <c r="E163" s="1" t="n">
        <v>46216</v>
      </c>
      <c r="F163" t="inlineStr">
        <is>
          <t>SKÅNE LÄN</t>
        </is>
      </c>
      <c r="G163" t="inlineStr">
        <is>
          <t>HÖRBY</t>
        </is>
      </c>
      <c r="H163" t="inlineStr">
        <is>
          <t>Sveaskog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23606-2026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46162</v>
      </c>
      <c r="E164" s="1" t="n">
        <v>46216</v>
      </c>
      <c r="F164" t="inlineStr">
        <is>
          <t>SKÅNE LÄN</t>
        </is>
      </c>
      <c r="G164" t="inlineStr">
        <is>
          <t>HÖRBY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31522-2022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44775</v>
      </c>
      <c r="E165" s="1" t="n">
        <v>46216</v>
      </c>
      <c r="F165" t="inlineStr">
        <is>
          <t>SKÅNE LÄN</t>
        </is>
      </c>
      <c r="G165" t="inlineStr">
        <is>
          <t>HÖRBY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54184-2024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45616</v>
      </c>
      <c r="E166" s="1" t="n">
        <v>46216</v>
      </c>
      <c r="F166" t="inlineStr">
        <is>
          <t>SKÅNE LÄN</t>
        </is>
      </c>
      <c r="G166" t="inlineStr">
        <is>
          <t>HÖRBY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7402-2026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46216</v>
      </c>
      <c r="F167" t="inlineStr">
        <is>
          <t>SKÅNE LÄN</t>
        </is>
      </c>
      <c r="G167" t="inlineStr">
        <is>
          <t>HÖRBY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60913-2023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45261</v>
      </c>
      <c r="E168" s="1" t="n">
        <v>46216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46216</v>
      </c>
      <c r="F169" t="inlineStr">
        <is>
          <t>SKÅNE LÄN</t>
        </is>
      </c>
      <c r="G169" t="inlineStr">
        <is>
          <t>HÖRBY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11941-2025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46216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43380-2022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46216</v>
      </c>
      <c r="F171" t="inlineStr">
        <is>
          <t>SKÅNE LÄN</t>
        </is>
      </c>
      <c r="G171" t="inlineStr">
        <is>
          <t>HÖRBY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20403-2024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45435</v>
      </c>
      <c r="E172" s="1" t="n">
        <v>46216</v>
      </c>
      <c r="F172" t="inlineStr">
        <is>
          <t>SKÅNE LÄN</t>
        </is>
      </c>
      <c r="G172" t="inlineStr">
        <is>
          <t>HÖRBY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46216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49726-2023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46216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36840-2024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46216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24724-2024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45460</v>
      </c>
      <c r="E176" s="1" t="n">
        <v>46216</v>
      </c>
      <c r="F176" t="inlineStr">
        <is>
          <t>SKÅNE LÄN</t>
        </is>
      </c>
      <c r="G176" t="inlineStr">
        <is>
          <t>HÖRBY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58641-2023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45251</v>
      </c>
      <c r="E177" s="1" t="n">
        <v>46216</v>
      </c>
      <c r="F177" t="inlineStr">
        <is>
          <t>SKÅNE LÄN</t>
        </is>
      </c>
      <c r="G177" t="inlineStr">
        <is>
          <t>HÖRBY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45316</v>
      </c>
      <c r="E178" s="1" t="n">
        <v>46216</v>
      </c>
      <c r="F178" t="inlineStr">
        <is>
          <t>SKÅNE LÄN</t>
        </is>
      </c>
      <c r="G178" t="inlineStr">
        <is>
          <t>HÖRBY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65073-2023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45287</v>
      </c>
      <c r="E179" s="1" t="n">
        <v>46216</v>
      </c>
      <c r="F179" t="inlineStr">
        <is>
          <t>SKÅNE LÄN</t>
        </is>
      </c>
      <c r="G179" t="inlineStr">
        <is>
          <t>HÖRBY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15970-2024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46216</v>
      </c>
      <c r="F180" t="inlineStr">
        <is>
          <t>SKÅNE LÄN</t>
        </is>
      </c>
      <c r="G180" t="inlineStr">
        <is>
          <t>HÖRBY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18735-2023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46216</v>
      </c>
      <c r="F181" t="inlineStr">
        <is>
          <t>SKÅNE LÄN</t>
        </is>
      </c>
      <c r="G181" t="inlineStr">
        <is>
          <t>HÖRBY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46216</v>
      </c>
      <c r="F182" t="inlineStr">
        <is>
          <t>SKÅNE LÄN</t>
        </is>
      </c>
      <c r="G182" t="inlineStr">
        <is>
          <t>HÖRBY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29219-2023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46216</v>
      </c>
      <c r="F183" t="inlineStr">
        <is>
          <t>SKÅNE LÄN</t>
        </is>
      </c>
      <c r="G183" t="inlineStr">
        <is>
          <t>HÖRBY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46216</v>
      </c>
      <c r="F184" t="inlineStr">
        <is>
          <t>SKÅNE LÄN</t>
        </is>
      </c>
      <c r="G184" t="inlineStr">
        <is>
          <t>HÖRBY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56818-2022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46216</v>
      </c>
      <c r="F185" t="inlineStr">
        <is>
          <t>SKÅNE LÄN</t>
        </is>
      </c>
      <c r="G185" t="inlineStr">
        <is>
          <t>HÖRBY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34422-2024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45525</v>
      </c>
      <c r="E186" s="1" t="n">
        <v>46216</v>
      </c>
      <c r="F186" t="inlineStr">
        <is>
          <t>SKÅNE LÄN</t>
        </is>
      </c>
      <c r="G186" t="inlineStr">
        <is>
          <t>HÖRBY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46216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56750-2023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46216</v>
      </c>
      <c r="F188" t="inlineStr">
        <is>
          <t>SKÅNE LÄN</t>
        </is>
      </c>
      <c r="G188" t="inlineStr">
        <is>
          <t>HÖRBY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46216</v>
      </c>
      <c r="F189" t="inlineStr">
        <is>
          <t>SKÅNE LÄN</t>
        </is>
      </c>
      <c r="G189" t="inlineStr">
        <is>
          <t>HÖRBY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18369-2025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46216</v>
      </c>
      <c r="F190" t="inlineStr">
        <is>
          <t>SKÅNE LÄN</t>
        </is>
      </c>
      <c r="G190" t="inlineStr">
        <is>
          <t>HÖRBY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19420-2022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44693</v>
      </c>
      <c r="E191" s="1" t="n">
        <v>46216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3177-2026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46041</v>
      </c>
      <c r="E192" s="1" t="n">
        <v>46216</v>
      </c>
      <c r="F192" t="inlineStr">
        <is>
          <t>SKÅNE LÄN</t>
        </is>
      </c>
      <c r="G192" t="inlineStr">
        <is>
          <t>HÖRBY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44928</v>
      </c>
      <c r="E193" s="1" t="n">
        <v>46216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50715-2024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46216</v>
      </c>
      <c r="F194" t="inlineStr">
        <is>
          <t>SKÅNE LÄN</t>
        </is>
      </c>
      <c r="G194" t="inlineStr">
        <is>
          <t>HÖRBY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37724-2022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46216</v>
      </c>
      <c r="F195" t="inlineStr">
        <is>
          <t>SKÅNE LÄN</t>
        </is>
      </c>
      <c r="G195" t="inlineStr">
        <is>
          <t>HÖRBY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37728-2022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46216</v>
      </c>
      <c r="F196" t="inlineStr">
        <is>
          <t>SKÅNE LÄN</t>
        </is>
      </c>
      <c r="G196" t="inlineStr">
        <is>
          <t>HÖRBY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46216</v>
      </c>
      <c r="F197" t="inlineStr">
        <is>
          <t>SKÅNE LÄN</t>
        </is>
      </c>
      <c r="G197" t="inlineStr">
        <is>
          <t>HÖRBY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33873-2024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45521</v>
      </c>
      <c r="E198" s="1" t="n">
        <v>46216</v>
      </c>
      <c r="F198" t="inlineStr">
        <is>
          <t>SKÅNE LÄN</t>
        </is>
      </c>
      <c r="G198" t="inlineStr">
        <is>
          <t>HÖRBY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46216</v>
      </c>
      <c r="F199" t="inlineStr">
        <is>
          <t>SKÅNE LÄN</t>
        </is>
      </c>
      <c r="G199" t="inlineStr">
        <is>
          <t>HÖRBY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13228-2024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46216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15998-2024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46216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45405</v>
      </c>
      <c r="E202" s="1" t="n">
        <v>46216</v>
      </c>
      <c r="F202" t="inlineStr">
        <is>
          <t>SKÅNE LÄN</t>
        </is>
      </c>
      <c r="G202" t="inlineStr">
        <is>
          <t>HÖRBY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31114-2024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45502</v>
      </c>
      <c r="E203" s="1" t="n">
        <v>46216</v>
      </c>
      <c r="F203" t="inlineStr">
        <is>
          <t>SKÅNE LÄN</t>
        </is>
      </c>
      <c r="G203" t="inlineStr">
        <is>
          <t>HÖRBY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46216</v>
      </c>
      <c r="F204" t="inlineStr">
        <is>
          <t>SKÅNE LÄN</t>
        </is>
      </c>
      <c r="G204" t="inlineStr">
        <is>
          <t>HÖRBY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19777-2023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45051</v>
      </c>
      <c r="E205" s="1" t="n">
        <v>46216</v>
      </c>
      <c r="F205" t="inlineStr">
        <is>
          <t>SKÅNE LÄN</t>
        </is>
      </c>
      <c r="G205" t="inlineStr">
        <is>
          <t>HÖRBY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57017-2025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46216</v>
      </c>
      <c r="F206" t="inlineStr">
        <is>
          <t>SKÅNE LÄN</t>
        </is>
      </c>
      <c r="G206" t="inlineStr">
        <is>
          <t>HÖRBY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28746-2024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46216</v>
      </c>
      <c r="F207" t="inlineStr">
        <is>
          <t>SKÅNE LÄN</t>
        </is>
      </c>
      <c r="G207" t="inlineStr">
        <is>
          <t>HÖRBY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29137-2026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46202</v>
      </c>
      <c r="E208" s="1" t="n">
        <v>46216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29138-2026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46202</v>
      </c>
      <c r="E209" s="1" t="n">
        <v>46216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46216</v>
      </c>
      <c r="F210" t="inlineStr">
        <is>
          <t>SKÅNE LÄN</t>
        </is>
      </c>
      <c r="G210" t="inlineStr">
        <is>
          <t>HÖRBY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29124-2026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46202</v>
      </c>
      <c r="E211" s="1" t="n">
        <v>46216</v>
      </c>
      <c r="F211" t="inlineStr">
        <is>
          <t>SKÅNE LÄN</t>
        </is>
      </c>
      <c r="G211" t="inlineStr">
        <is>
          <t>HÖRBY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29135-2026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46202</v>
      </c>
      <c r="E212" s="1" t="n">
        <v>46216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16518-2026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46216</v>
      </c>
      <c r="F213" t="inlineStr">
        <is>
          <t>SKÅNE LÄN</t>
        </is>
      </c>
      <c r="G213" t="inlineStr">
        <is>
          <t>HÖRBY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55307-2025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45970</v>
      </c>
      <c r="E214" s="1" t="n">
        <v>46216</v>
      </c>
      <c r="F214" t="inlineStr">
        <is>
          <t>SKÅNE LÄN</t>
        </is>
      </c>
      <c r="G214" t="inlineStr">
        <is>
          <t>HÖRBY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20047-2026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46216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10500-2026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46216</v>
      </c>
      <c r="F216" t="inlineStr">
        <is>
          <t>SKÅNE LÄN</t>
        </is>
      </c>
      <c r="G216" t="inlineStr">
        <is>
          <t>HÖRBY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10524-2026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46216</v>
      </c>
      <c r="F217" t="inlineStr">
        <is>
          <t>SKÅNE LÄN</t>
        </is>
      </c>
      <c r="G217" t="inlineStr">
        <is>
          <t>HÖRBY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6558-2025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45699</v>
      </c>
      <c r="E218" s="1" t="n">
        <v>46216</v>
      </c>
      <c r="F218" t="inlineStr">
        <is>
          <t>SKÅNE LÄN</t>
        </is>
      </c>
      <c r="G218" t="inlineStr">
        <is>
          <t>HÖRBY</t>
        </is>
      </c>
      <c r="H218" t="inlineStr">
        <is>
          <t>Kommuner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25183-2023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45079</v>
      </c>
      <c r="E219" s="1" t="n">
        <v>46216</v>
      </c>
      <c r="F219" t="inlineStr">
        <is>
          <t>SKÅNE LÄN</t>
        </is>
      </c>
      <c r="G219" t="inlineStr">
        <is>
          <t>HÖRBY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41940-2022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44833</v>
      </c>
      <c r="E220" s="1" t="n">
        <v>46216</v>
      </c>
      <c r="F220" t="inlineStr">
        <is>
          <t>SKÅNE LÄN</t>
        </is>
      </c>
      <c r="G220" t="inlineStr">
        <is>
          <t>HÖRBY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30934-2026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46213</v>
      </c>
      <c r="E221" s="1" t="n">
        <v>46216</v>
      </c>
      <c r="F221" t="inlineStr">
        <is>
          <t>SKÅNE LÄN</t>
        </is>
      </c>
      <c r="G221" t="inlineStr">
        <is>
          <t>HÖRBY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38684-2022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46216</v>
      </c>
      <c r="F222" t="inlineStr">
        <is>
          <t>SKÅNE LÄN</t>
        </is>
      </c>
      <c r="G222" t="inlineStr">
        <is>
          <t>HÖRBY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52310-2023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45224</v>
      </c>
      <c r="E223" s="1" t="n">
        <v>46216</v>
      </c>
      <c r="F223" t="inlineStr">
        <is>
          <t>SKÅNE LÄN</t>
        </is>
      </c>
      <c r="G223" t="inlineStr">
        <is>
          <t>HÖRBY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46216</v>
      </c>
      <c r="F224" t="inlineStr">
        <is>
          <t>SKÅNE LÄN</t>
        </is>
      </c>
      <c r="G224" t="inlineStr">
        <is>
          <t>HÖRBY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3888-2023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45230</v>
      </c>
      <c r="E225" s="1" t="n">
        <v>46216</v>
      </c>
      <c r="F225" t="inlineStr">
        <is>
          <t>SKÅNE LÄN</t>
        </is>
      </c>
      <c r="G225" t="inlineStr">
        <is>
          <t>HÖRBY</t>
        </is>
      </c>
      <c r="I225" t="n">
        <v>13.9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4691-2022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44796</v>
      </c>
      <c r="E226" s="1" t="n">
        <v>46216</v>
      </c>
      <c r="F226" t="inlineStr">
        <is>
          <t>SKÅNE LÄN</t>
        </is>
      </c>
      <c r="G226" t="inlineStr">
        <is>
          <t>HÖRBY</t>
        </is>
      </c>
      <c r="I226" t="n">
        <v>39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734-2025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45722</v>
      </c>
      <c r="E227" s="1" t="n">
        <v>46216</v>
      </c>
      <c r="F227" t="inlineStr">
        <is>
          <t>SKÅNE LÄN</t>
        </is>
      </c>
      <c r="G227" t="inlineStr">
        <is>
          <t>HÖRBY</t>
        </is>
      </c>
      <c r="I227" t="n">
        <v>27.4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144-2026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46042</v>
      </c>
      <c r="E228" s="1" t="n">
        <v>46216</v>
      </c>
      <c r="F228" t="inlineStr">
        <is>
          <t>SKÅNE LÄN</t>
        </is>
      </c>
      <c r="G228" t="inlineStr">
        <is>
          <t>HÖRBY</t>
        </is>
      </c>
      <c r="I228" t="n">
        <v>18.3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1874-2026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46216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1875-2026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46216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1873-2026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46216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>
      <c r="A232" t="inlineStr">
        <is>
          <t>S 220-2026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46051</v>
      </c>
      <c r="E232" s="1" t="n">
        <v>46216</v>
      </c>
      <c r="F232" t="inlineStr">
        <is>
          <t>SKÅNE LÄN</t>
        </is>
      </c>
      <c r="G232" t="inlineStr">
        <is>
          <t>HÖRBY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2026-07-13T14:48:55Z</dcterms:created>
  <dcterms:modified xmlns:dcterms="http://purl.org/dc/terms/" xmlns:xsi="http://www.w3.org/2001/XMLSchema-instance" xsi:type="dcterms:W3CDTF">2026-07-13T14:48:55Z</dcterms:modified>
</cp:coreProperties>
</file>