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46283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46283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46283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46283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46283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46283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46283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46283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46283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46283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46283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46283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46283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46283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46283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36362-2025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45868</v>
      </c>
      <c r="E25" s="1" t="n">
        <v>46283</v>
      </c>
      <c r="F25" t="inlineStr">
        <is>
          <t>SKÅNE LÄN</t>
        </is>
      </c>
      <c r="G25" t="inlineStr">
        <is>
          <t>HÖRBY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HYPERLINK("https://klasma.github.io/Logging_1266/artfynd/A 36362-2025 artfynd.xlsx", "A 36362-2025")</f>
        <v/>
      </c>
      <c r="X25">
        <f>HYPERLINK("https://klasma.github.io/Logging_1266/kartor/A 36362-2025 karta.png", "A 36362-2025")</f>
        <v/>
      </c>
      <c r="Y25">
        <f>HYPERLINK("https://klasma.github.io/Logging_1266/kartor_geotiff/A 36362-2025 georefererad karta.tif", "A 36362-2025")</f>
        <v/>
      </c>
      <c r="AA25">
        <f>HYPERLINK("https://klasma.github.io/Logging_1266/klagomål/A 36362-2025 FSC-klagomål.docx", "A 36362-2025")</f>
        <v/>
      </c>
      <c r="AB25">
        <f>HYPERLINK("https://klasma.github.io/Logging_1266/klagomålsmail/A 36362-2025 FSC-klagomål mail.docx", "A 36362-2025")</f>
        <v/>
      </c>
      <c r="AC25">
        <f>HYPERLINK("https://klasma.github.io/Logging_1266/tillsyn/A 36362-2025 tillsynsbegäran.docx", "A 36362-2025")</f>
        <v/>
      </c>
      <c r="AD25">
        <f>HYPERLINK("https://klasma.github.io/Logging_1266/tillsynsmail/A 36362-2025 tillsynsbegäran mail.docx", "A 36362-2025")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46283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46283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46283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46283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16519-2026 artfynd.xlsx", "A 16519-2026")</f>
        <v/>
      </c>
      <c r="X29">
        <f>HYPERLINK("https://klasma.github.io/Logging_1266/kartor/A 16519-2026 karta.png", "A 16519-2026")</f>
        <v/>
      </c>
      <c r="Y29">
        <f>HYPERLINK("https://klasma.github.io/Logging_1266/kartor_geotiff/A 16519-2026 georefererad karta.tif", "A 16519-2026")</f>
        <v/>
      </c>
      <c r="AA29">
        <f>HYPERLINK("https://klasma.github.io/Logging_1266/klagomål/A 16519-2026 FSC-klagomål.docx", "A 16519-2026")</f>
        <v/>
      </c>
      <c r="AB29">
        <f>HYPERLINK("https://klasma.github.io/Logging_1266/klagomålsmail/A 16519-2026 FSC-klagomål mail.docx", "A 16519-2026")</f>
        <v/>
      </c>
      <c r="AC29">
        <f>HYPERLINK("https://klasma.github.io/Logging_1266/tillsyn/A 16519-2026 tillsynsbegäran.docx", "A 16519-2026")</f>
        <v/>
      </c>
      <c r="AD29">
        <f>HYPERLINK("https://klasma.github.io/Logging_1266/tillsynsmail/A 16519-2026 tillsynsbegäran mail.docx", "A 16519-2026")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46283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31115-2024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45502</v>
      </c>
      <c r="E31" s="1" t="n">
        <v>46283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HYPERLINK("https://klasma.github.io/Logging_1266/artfynd/A 31115-2024 artfynd.xlsx", "A 31115-2024")</f>
        <v/>
      </c>
      <c r="X31">
        <f>HYPERLINK("https://klasma.github.io/Logging_1266/kartor/A 31115-2024 karta.png", "A 31115-2024")</f>
        <v/>
      </c>
      <c r="Y31">
        <f>HYPERLINK("https://klasma.github.io/Logging_1266/kartor_geotiff/A 31115-2024 georefererad karta.tif", "A 31115-2024")</f>
        <v/>
      </c>
      <c r="AA31">
        <f>HYPERLINK("https://klasma.github.io/Logging_1266/klagomål/A 31115-2024 FSC-klagomål.docx", "A 31115-2024")</f>
        <v/>
      </c>
      <c r="AB31">
        <f>HYPERLINK("https://klasma.github.io/Logging_1266/klagomålsmail/A 31115-2024 FSC-klagomål mail.docx", "A 31115-2024")</f>
        <v/>
      </c>
      <c r="AC31">
        <f>HYPERLINK("https://klasma.github.io/Logging_1266/tillsyn/A 31115-2024 tillsynsbegäran.docx", "A 31115-2024")</f>
        <v/>
      </c>
      <c r="AD31">
        <f>HYPERLINK("https://klasma.github.io/Logging_1266/tillsynsmail/A 31115-2024 tillsynsbegäran mail.docx", "A 31115-2024")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46283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46283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46283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46283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46283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46283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46283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46283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46283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46283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46283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46283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46283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46283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46283</v>
      </c>
      <c r="F52" t="inlineStr">
        <is>
          <t>SKÅNE LÄN</t>
        </is>
      </c>
      <c r="G52" t="inlineStr">
        <is>
          <t>HÖRBY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46283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46283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46283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46283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45128</v>
      </c>
      <c r="E57" s="1" t="n">
        <v>46283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46283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46283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46283</v>
      </c>
      <c r="F60" t="inlineStr">
        <is>
          <t>SKÅNE LÄN</t>
        </is>
      </c>
      <c r="G60" t="inlineStr">
        <is>
          <t>HÖRBY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45155</v>
      </c>
      <c r="E61" s="1" t="n">
        <v>46283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44944</v>
      </c>
      <c r="E62" s="1" t="n">
        <v>46283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46283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28785-2023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45104</v>
      </c>
      <c r="E64" s="1" t="n">
        <v>46283</v>
      </c>
      <c r="F64" t="inlineStr">
        <is>
          <t>SKÅNE LÄN</t>
        </is>
      </c>
      <c r="G64" t="inlineStr">
        <is>
          <t>HÖRBY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46283</v>
      </c>
      <c r="F65" t="inlineStr">
        <is>
          <t>SKÅNE LÄN</t>
        </is>
      </c>
      <c r="G65" t="inlineStr">
        <is>
          <t>HÖRBY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46283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46283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46283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46283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43828-2024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45572</v>
      </c>
      <c r="E70" s="1" t="n">
        <v>46283</v>
      </c>
      <c r="F70" t="inlineStr">
        <is>
          <t>SKÅNE LÄN</t>
        </is>
      </c>
      <c r="G70" t="inlineStr">
        <is>
          <t>HÖRBY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8260-2026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46064</v>
      </c>
      <c r="E71" s="1" t="n">
        <v>46283</v>
      </c>
      <c r="F71" t="inlineStr">
        <is>
          <t>SKÅNE LÄN</t>
        </is>
      </c>
      <c r="G71" t="inlineStr">
        <is>
          <t>HÖRBY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8259-2026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46064</v>
      </c>
      <c r="E72" s="1" t="n">
        <v>46283</v>
      </c>
      <c r="F72" t="inlineStr">
        <is>
          <t>SKÅNE LÄN</t>
        </is>
      </c>
      <c r="G72" t="inlineStr">
        <is>
          <t>HÖRBY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29244-2025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46283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46283</v>
      </c>
      <c r="F74" t="inlineStr">
        <is>
          <t>SKÅNE LÄN</t>
        </is>
      </c>
      <c r="G74" t="inlineStr">
        <is>
          <t>HÖRBY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46283</v>
      </c>
      <c r="F75" t="inlineStr">
        <is>
          <t>SKÅNE LÄN</t>
        </is>
      </c>
      <c r="G75" t="inlineStr">
        <is>
          <t>HÖRBY</t>
        </is>
      </c>
      <c r="H75" t="inlineStr">
        <is>
          <t>Kyrkan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46283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46283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45176</v>
      </c>
      <c r="E78" s="1" t="n">
        <v>46283</v>
      </c>
      <c r="F78" t="inlineStr">
        <is>
          <t>SKÅNE LÄN</t>
        </is>
      </c>
      <c r="G78" t="inlineStr">
        <is>
          <t>HÖRBY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45315</v>
      </c>
      <c r="E79" s="1" t="n">
        <v>46283</v>
      </c>
      <c r="F79" t="inlineStr">
        <is>
          <t>SKÅNE LÄN</t>
        </is>
      </c>
      <c r="G79" t="inlineStr">
        <is>
          <t>HÖRBY</t>
        </is>
      </c>
      <c r="H79" t="inlineStr">
        <is>
          <t>Kyrkan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45390</v>
      </c>
      <c r="E80" s="1" t="n">
        <v>46283</v>
      </c>
      <c r="F80" t="inlineStr">
        <is>
          <t>SKÅNE LÄN</t>
        </is>
      </c>
      <c r="G80" t="inlineStr">
        <is>
          <t>HÖRBY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46283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46283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46283</v>
      </c>
      <c r="F83" t="inlineStr">
        <is>
          <t>SKÅNE LÄN</t>
        </is>
      </c>
      <c r="G83" t="inlineStr">
        <is>
          <t>HÖRBY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58641-2023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45251</v>
      </c>
      <c r="E84" s="1" t="n">
        <v>46283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45763</v>
      </c>
      <c r="E85" s="1" t="n">
        <v>46283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45317</v>
      </c>
      <c r="E86" s="1" t="n">
        <v>46283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46099</v>
      </c>
      <c r="E87" s="1" t="n">
        <v>46283</v>
      </c>
      <c r="F87" t="inlineStr">
        <is>
          <t>SKÅNE LÄN</t>
        </is>
      </c>
      <c r="G87" t="inlineStr">
        <is>
          <t>HÖRBY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46283</v>
      </c>
      <c r="F88" t="inlineStr">
        <is>
          <t>SKÅNE LÄN</t>
        </is>
      </c>
      <c r="G88" t="inlineStr">
        <is>
          <t>HÖRBY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45300</v>
      </c>
      <c r="E89" s="1" t="n">
        <v>46283</v>
      </c>
      <c r="F89" t="inlineStr">
        <is>
          <t>SKÅNE LÄN</t>
        </is>
      </c>
      <c r="G89" t="inlineStr">
        <is>
          <t>HÖRBY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46283</v>
      </c>
      <c r="F90" t="inlineStr">
        <is>
          <t>SKÅNE LÄN</t>
        </is>
      </c>
      <c r="G90" t="inlineStr">
        <is>
          <t>HÖRBY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46283</v>
      </c>
      <c r="F91" t="inlineStr">
        <is>
          <t>SKÅNE LÄN</t>
        </is>
      </c>
      <c r="G91" t="inlineStr">
        <is>
          <t>HÖRBY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46283</v>
      </c>
      <c r="F92" t="inlineStr">
        <is>
          <t>SKÅNE LÄN</t>
        </is>
      </c>
      <c r="G92" t="inlineStr">
        <is>
          <t>HÖRBY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46283</v>
      </c>
      <c r="F93" t="inlineStr">
        <is>
          <t>SKÅNE LÄN</t>
        </is>
      </c>
      <c r="G93" t="inlineStr">
        <is>
          <t>HÖRBY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46283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46283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45882</v>
      </c>
      <c r="E96" s="1" t="n">
        <v>46283</v>
      </c>
      <c r="F96" t="inlineStr">
        <is>
          <t>SKÅNE LÄN</t>
        </is>
      </c>
      <c r="G96" t="inlineStr">
        <is>
          <t>HÖRBY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46283</v>
      </c>
      <c r="F97" t="inlineStr">
        <is>
          <t>SKÅNE LÄN</t>
        </is>
      </c>
      <c r="G97" t="inlineStr">
        <is>
          <t>HÖRBY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45677</v>
      </c>
      <c r="E98" s="1" t="n">
        <v>46283</v>
      </c>
      <c r="F98" t="inlineStr">
        <is>
          <t>SKÅNE LÄN</t>
        </is>
      </c>
      <c r="G98" t="inlineStr">
        <is>
          <t>HÖRBY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45750</v>
      </c>
      <c r="E99" s="1" t="n">
        <v>46283</v>
      </c>
      <c r="F99" t="inlineStr">
        <is>
          <t>SKÅNE LÄN</t>
        </is>
      </c>
      <c r="G99" t="inlineStr">
        <is>
          <t>HÖRBY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34422-2024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45525</v>
      </c>
      <c r="E100" s="1" t="n">
        <v>46283</v>
      </c>
      <c r="F100" t="inlineStr">
        <is>
          <t>SKÅNE LÄN</t>
        </is>
      </c>
      <c r="G100" t="inlineStr">
        <is>
          <t>HÖRBY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46283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46283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46283</v>
      </c>
      <c r="F103" t="inlineStr">
        <is>
          <t>SKÅNE LÄN</t>
        </is>
      </c>
      <c r="G103" t="inlineStr">
        <is>
          <t>HÖRBY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46283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46283</v>
      </c>
      <c r="F105" t="inlineStr">
        <is>
          <t>SKÅNE LÄN</t>
        </is>
      </c>
      <c r="G105" t="inlineStr">
        <is>
          <t>HÖRBY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67426-2021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46283</v>
      </c>
      <c r="F106" t="inlineStr">
        <is>
          <t>SKÅNE LÄN</t>
        </is>
      </c>
      <c r="G106" t="inlineStr">
        <is>
          <t>HÖRBY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46049</v>
      </c>
      <c r="E107" s="1" t="n">
        <v>46283</v>
      </c>
      <c r="F107" t="inlineStr">
        <is>
          <t>SKÅNE LÄN</t>
        </is>
      </c>
      <c r="G107" t="inlineStr">
        <is>
          <t>HÖRBY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46283</v>
      </c>
      <c r="F108" t="inlineStr">
        <is>
          <t>SKÅNE LÄN</t>
        </is>
      </c>
      <c r="G108" t="inlineStr">
        <is>
          <t>HÖRBY</t>
        </is>
      </c>
      <c r="H108" t="inlineStr">
        <is>
          <t>Kyrkan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46283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45287</v>
      </c>
      <c r="E110" s="1" t="n">
        <v>46283</v>
      </c>
      <c r="F110" t="inlineStr">
        <is>
          <t>SKÅNE LÄN</t>
        </is>
      </c>
      <c r="G110" t="inlineStr">
        <is>
          <t>HÖRBY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45043</v>
      </c>
      <c r="E111" s="1" t="n">
        <v>46283</v>
      </c>
      <c r="F111" t="inlineStr">
        <is>
          <t>SKÅNE LÄN</t>
        </is>
      </c>
      <c r="G111" t="inlineStr">
        <is>
          <t>HÖRBY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46283</v>
      </c>
      <c r="F112" t="inlineStr">
        <is>
          <t>SKÅNE LÄN</t>
        </is>
      </c>
      <c r="G112" t="inlineStr">
        <is>
          <t>HÖRBY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46283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46283</v>
      </c>
      <c r="F114" t="inlineStr">
        <is>
          <t>SKÅNE LÄN</t>
        </is>
      </c>
      <c r="G114" t="inlineStr">
        <is>
          <t>HÖRBY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44608</v>
      </c>
      <c r="E115" s="1" t="n">
        <v>46283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46283</v>
      </c>
      <c r="F116" t="inlineStr">
        <is>
          <t>SKÅNE LÄN</t>
        </is>
      </c>
      <c r="G116" t="inlineStr">
        <is>
          <t>HÖRBY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46048</v>
      </c>
      <c r="E117" s="1" t="n">
        <v>46283</v>
      </c>
      <c r="F117" t="inlineStr">
        <is>
          <t>SKÅNE LÄN</t>
        </is>
      </c>
      <c r="G117" t="inlineStr">
        <is>
          <t>HÖRBY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45391</v>
      </c>
      <c r="E118" s="1" t="n">
        <v>46283</v>
      </c>
      <c r="F118" t="inlineStr">
        <is>
          <t>SKÅNE LÄN</t>
        </is>
      </c>
      <c r="G118" t="inlineStr">
        <is>
          <t>HÖRBY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45845</v>
      </c>
      <c r="E119" s="1" t="n">
        <v>46283</v>
      </c>
      <c r="F119" t="inlineStr">
        <is>
          <t>SKÅNE LÄN</t>
        </is>
      </c>
      <c r="G119" t="inlineStr">
        <is>
          <t>HÖRBY</t>
        </is>
      </c>
      <c r="I119" t="n">
        <v>18.7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46283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46283</v>
      </c>
      <c r="F121" t="inlineStr">
        <is>
          <t>SKÅNE LÄN</t>
        </is>
      </c>
      <c r="G121" t="inlineStr">
        <is>
          <t>HÖRBY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46283</v>
      </c>
      <c r="F122" t="inlineStr">
        <is>
          <t>SKÅNE LÄN</t>
        </is>
      </c>
      <c r="G122" t="inlineStr">
        <is>
          <t>HÖRBY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45762</v>
      </c>
      <c r="E123" s="1" t="n">
        <v>46283</v>
      </c>
      <c r="F123" t="inlineStr">
        <is>
          <t>SKÅNE LÄN</t>
        </is>
      </c>
      <c r="G123" t="inlineStr">
        <is>
          <t>HÖRBY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46283</v>
      </c>
      <c r="F124" t="inlineStr">
        <is>
          <t>SKÅNE LÄN</t>
        </is>
      </c>
      <c r="G124" t="inlineStr">
        <is>
          <t>HÖRBY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46283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46283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3177-2026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46041</v>
      </c>
      <c r="E127" s="1" t="n">
        <v>46283</v>
      </c>
      <c r="F127" t="inlineStr">
        <is>
          <t>SKÅNE LÄN</t>
        </is>
      </c>
      <c r="G127" t="inlineStr">
        <is>
          <t>HÖRBY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46283</v>
      </c>
      <c r="F128" t="inlineStr">
        <is>
          <t>SKÅNE LÄN</t>
        </is>
      </c>
      <c r="G128" t="inlineStr">
        <is>
          <t>HÖRBY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51757-2025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45951</v>
      </c>
      <c r="E129" s="1" t="n">
        <v>46283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46283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46283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46283</v>
      </c>
      <c r="F132" t="inlineStr">
        <is>
          <t>SKÅNE LÄN</t>
        </is>
      </c>
      <c r="G132" t="inlineStr">
        <is>
          <t>HÖRBY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46283</v>
      </c>
      <c r="F133" t="inlineStr">
        <is>
          <t>SKÅNE LÄN</t>
        </is>
      </c>
      <c r="G133" t="inlineStr">
        <is>
          <t>HÖRBY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46283</v>
      </c>
      <c r="F134" t="inlineStr">
        <is>
          <t>SKÅNE LÄN</t>
        </is>
      </c>
      <c r="G134" t="inlineStr">
        <is>
          <t>HÖRBY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46283</v>
      </c>
      <c r="F135" t="inlineStr">
        <is>
          <t>SKÅNE LÄN</t>
        </is>
      </c>
      <c r="G135" t="inlineStr">
        <is>
          <t>HÖRBY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46076</v>
      </c>
      <c r="E136" s="1" t="n">
        <v>46283</v>
      </c>
      <c r="F136" t="inlineStr">
        <is>
          <t>SKÅNE LÄN</t>
        </is>
      </c>
      <c r="G136" t="inlineStr">
        <is>
          <t>HÖRBY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46076</v>
      </c>
      <c r="E137" s="1" t="n">
        <v>46283</v>
      </c>
      <c r="F137" t="inlineStr">
        <is>
          <t>SKÅNE LÄN</t>
        </is>
      </c>
      <c r="G137" t="inlineStr">
        <is>
          <t>HÖRBY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46283</v>
      </c>
      <c r="F138" t="inlineStr">
        <is>
          <t>SKÅNE LÄN</t>
        </is>
      </c>
      <c r="G138" t="inlineStr">
        <is>
          <t>HÖRBY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46283</v>
      </c>
      <c r="F139" t="inlineStr">
        <is>
          <t>SKÅNE LÄN</t>
        </is>
      </c>
      <c r="G139" t="inlineStr">
        <is>
          <t>HÖRBY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45316</v>
      </c>
      <c r="E140" s="1" t="n">
        <v>46283</v>
      </c>
      <c r="F140" t="inlineStr">
        <is>
          <t>SKÅNE LÄN</t>
        </is>
      </c>
      <c r="G140" t="inlineStr">
        <is>
          <t>HÖRBY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46112</v>
      </c>
      <c r="E141" s="1" t="n">
        <v>46283</v>
      </c>
      <c r="F141" t="inlineStr">
        <is>
          <t>SKÅNE LÄN</t>
        </is>
      </c>
      <c r="G141" t="inlineStr">
        <is>
          <t>HÖRBY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46283</v>
      </c>
      <c r="F142" t="inlineStr">
        <is>
          <t>SKÅNE LÄN</t>
        </is>
      </c>
      <c r="G142" t="inlineStr">
        <is>
          <t>HÖRBY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45203</v>
      </c>
      <c r="E143" s="1" t="n">
        <v>46283</v>
      </c>
      <c r="F143" t="inlineStr">
        <is>
          <t>SKÅNE LÄN</t>
        </is>
      </c>
      <c r="G143" t="inlineStr">
        <is>
          <t>HÖRBY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46283</v>
      </c>
      <c r="F144" t="inlineStr">
        <is>
          <t>SKÅNE LÄN</t>
        </is>
      </c>
      <c r="G144" t="inlineStr">
        <is>
          <t>HÖRBY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55304-2025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45970</v>
      </c>
      <c r="E145" s="1" t="n">
        <v>46283</v>
      </c>
      <c r="F145" t="inlineStr">
        <is>
          <t>SKÅNE LÄN</t>
        </is>
      </c>
      <c r="G145" t="inlineStr">
        <is>
          <t>HÖRBY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55306-2025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45970</v>
      </c>
      <c r="E146" s="1" t="n">
        <v>46283</v>
      </c>
      <c r="F146" t="inlineStr">
        <is>
          <t>SKÅNE LÄN</t>
        </is>
      </c>
      <c r="G146" t="inlineStr">
        <is>
          <t>HÖRBY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46283</v>
      </c>
      <c r="F147" t="inlineStr">
        <is>
          <t>SKÅNE LÄN</t>
        </is>
      </c>
      <c r="G147" t="inlineStr">
        <is>
          <t>HÖRBY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45051</v>
      </c>
      <c r="E148" s="1" t="n">
        <v>46283</v>
      </c>
      <c r="F148" t="inlineStr">
        <is>
          <t>SKÅNE LÄN</t>
        </is>
      </c>
      <c r="G148" t="inlineStr">
        <is>
          <t>HÖRBY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46283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29138-2026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46202</v>
      </c>
      <c r="E150" s="1" t="n">
        <v>46283</v>
      </c>
      <c r="F150" t="inlineStr">
        <is>
          <t>SKÅNE LÄN</t>
        </is>
      </c>
      <c r="G150" t="inlineStr">
        <is>
          <t>HÖRBY</t>
        </is>
      </c>
      <c r="H150" t="inlineStr">
        <is>
          <t>Sveaskog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29135-2026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46202</v>
      </c>
      <c r="E151" s="1" t="n">
        <v>46283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29137-2026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46202</v>
      </c>
      <c r="E152" s="1" t="n">
        <v>46283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46283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46283</v>
      </c>
      <c r="F154" t="inlineStr">
        <is>
          <t>SKÅNE LÄN</t>
        </is>
      </c>
      <c r="G154" t="inlineStr">
        <is>
          <t>HÖRBY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46283</v>
      </c>
      <c r="F155" t="inlineStr">
        <is>
          <t>SKÅNE LÄN</t>
        </is>
      </c>
      <c r="G155" t="inlineStr">
        <is>
          <t>HÖRBY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46283</v>
      </c>
      <c r="F156" t="inlineStr">
        <is>
          <t>SKÅNE LÄN</t>
        </is>
      </c>
      <c r="G156" t="inlineStr">
        <is>
          <t>HÖRBY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46283</v>
      </c>
      <c r="F157" t="inlineStr">
        <is>
          <t>SKÅNE LÄN</t>
        </is>
      </c>
      <c r="G157" t="inlineStr">
        <is>
          <t>HÖRBY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45521</v>
      </c>
      <c r="E158" s="1" t="n">
        <v>46283</v>
      </c>
      <c r="F158" t="inlineStr">
        <is>
          <t>SKÅNE LÄN</t>
        </is>
      </c>
      <c r="G158" t="inlineStr">
        <is>
          <t>HÖRBY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46283</v>
      </c>
      <c r="F159" t="inlineStr">
        <is>
          <t>SKÅNE LÄN</t>
        </is>
      </c>
      <c r="G159" t="inlineStr">
        <is>
          <t>HÖRBY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45166</v>
      </c>
      <c r="E160" s="1" t="n">
        <v>46283</v>
      </c>
      <c r="F160" t="inlineStr">
        <is>
          <t>SKÅNE LÄN</t>
        </is>
      </c>
      <c r="G160" t="inlineStr">
        <is>
          <t>HÖRBY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46283</v>
      </c>
      <c r="F161" t="inlineStr">
        <is>
          <t>SKÅNE LÄN</t>
        </is>
      </c>
      <c r="G161" t="inlineStr">
        <is>
          <t>HÖRBY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45680</v>
      </c>
      <c r="E162" s="1" t="n">
        <v>46283</v>
      </c>
      <c r="F162" t="inlineStr">
        <is>
          <t>SKÅNE LÄN</t>
        </is>
      </c>
      <c r="G162" t="inlineStr">
        <is>
          <t>HÖRBY</t>
        </is>
      </c>
      <c r="H162" t="inlineStr">
        <is>
          <t>Kyrkan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46283</v>
      </c>
      <c r="F163" t="inlineStr">
        <is>
          <t>SKÅNE LÄN</t>
        </is>
      </c>
      <c r="G163" t="inlineStr">
        <is>
          <t>HÖRBY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46283</v>
      </c>
      <c r="F164" t="inlineStr">
        <is>
          <t>SKÅNE LÄN</t>
        </is>
      </c>
      <c r="G164" t="inlineStr">
        <is>
          <t>HÖRBY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46213</v>
      </c>
      <c r="E165" s="1" t="n">
        <v>46283</v>
      </c>
      <c r="F165" t="inlineStr">
        <is>
          <t>SKÅNE LÄN</t>
        </is>
      </c>
      <c r="G165" t="inlineStr">
        <is>
          <t>HÖRBY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46283</v>
      </c>
      <c r="F166" t="inlineStr">
        <is>
          <t>SKÅNE LÄN</t>
        </is>
      </c>
      <c r="G166" t="inlineStr">
        <is>
          <t>HÖRBY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46283</v>
      </c>
      <c r="F167" t="inlineStr">
        <is>
          <t>SKÅNE LÄN</t>
        </is>
      </c>
      <c r="G167" t="inlineStr">
        <is>
          <t>HÖRBY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23606-2026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46162</v>
      </c>
      <c r="E168" s="1" t="n">
        <v>46283</v>
      </c>
      <c r="F168" t="inlineStr">
        <is>
          <t>SKÅNE LÄN</t>
        </is>
      </c>
      <c r="G168" t="inlineStr">
        <is>
          <t>HÖRBY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46218</v>
      </c>
      <c r="E169" s="1" t="n">
        <v>46283</v>
      </c>
      <c r="F169" t="inlineStr">
        <is>
          <t>SKÅNE LÄN</t>
        </is>
      </c>
      <c r="G169" t="inlineStr">
        <is>
          <t>HÖRBY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24670-2024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45460</v>
      </c>
      <c r="E170" s="1" t="n">
        <v>46283</v>
      </c>
      <c r="F170" t="inlineStr">
        <is>
          <t>SKÅNE LÄN</t>
        </is>
      </c>
      <c r="G170" t="inlineStr">
        <is>
          <t>HÖRBY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45970</v>
      </c>
      <c r="E171" s="1" t="n">
        <v>46283</v>
      </c>
      <c r="F171" t="inlineStr">
        <is>
          <t>SKÅNE LÄN</t>
        </is>
      </c>
      <c r="G171" t="inlineStr">
        <is>
          <t>HÖRBY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46283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46283</v>
      </c>
      <c r="F173" t="inlineStr">
        <is>
          <t>SKÅNE LÄN</t>
        </is>
      </c>
      <c r="G173" t="inlineStr">
        <is>
          <t>HÖRBY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46283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46283</v>
      </c>
      <c r="F175" t="inlineStr">
        <is>
          <t>SKÅNE LÄN</t>
        </is>
      </c>
      <c r="G175" t="inlineStr">
        <is>
          <t>HÖRBY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46283</v>
      </c>
      <c r="F176" t="inlineStr">
        <is>
          <t>SKÅNE LÄN</t>
        </is>
      </c>
      <c r="G176" t="inlineStr">
        <is>
          <t>HÖRBY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44814</v>
      </c>
      <c r="E177" s="1" t="n">
        <v>46283</v>
      </c>
      <c r="F177" t="inlineStr">
        <is>
          <t>SKÅNE LÄN</t>
        </is>
      </c>
      <c r="G177" t="inlineStr">
        <is>
          <t>HÖRBY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46283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46283</v>
      </c>
      <c r="F179" t="inlineStr">
        <is>
          <t>SKÅNE LÄN</t>
        </is>
      </c>
      <c r="G179" t="inlineStr">
        <is>
          <t>HÖRBY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45079</v>
      </c>
      <c r="E180" s="1" t="n">
        <v>46283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46283</v>
      </c>
      <c r="F181" t="inlineStr">
        <is>
          <t>SKÅNE LÄN</t>
        </is>
      </c>
      <c r="G181" t="inlineStr">
        <is>
          <t>HÖRBY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45540</v>
      </c>
      <c r="E182" s="1" t="n">
        <v>46283</v>
      </c>
      <c r="F182" t="inlineStr">
        <is>
          <t>SKÅNE LÄN</t>
        </is>
      </c>
      <c r="G182" t="inlineStr">
        <is>
          <t>HÖRBY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46283</v>
      </c>
      <c r="F183" t="inlineStr">
        <is>
          <t>SKÅNE LÄN</t>
        </is>
      </c>
      <c r="G183" t="inlineStr">
        <is>
          <t>HÖRBY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46283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46283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46283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46283</v>
      </c>
      <c r="F187" t="inlineStr">
        <is>
          <t>SKÅNE LÄN</t>
        </is>
      </c>
      <c r="G187" t="inlineStr">
        <is>
          <t>HÖRBY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46283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46283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43685-2022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44837</v>
      </c>
      <c r="E190" s="1" t="n">
        <v>46283</v>
      </c>
      <c r="F190" t="inlineStr">
        <is>
          <t>SKÅNE LÄN</t>
        </is>
      </c>
      <c r="G190" t="inlineStr">
        <is>
          <t>HÖRBY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45460</v>
      </c>
      <c r="E191" s="1" t="n">
        <v>46283</v>
      </c>
      <c r="F191" t="inlineStr">
        <is>
          <t>SKÅNE LÄN</t>
        </is>
      </c>
      <c r="G191" t="inlineStr">
        <is>
          <t>HÖRBY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46283</v>
      </c>
      <c r="F192" t="inlineStr">
        <is>
          <t>SKÅNE LÄN</t>
        </is>
      </c>
      <c r="G192" t="inlineStr">
        <is>
          <t>HÖRBY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46283</v>
      </c>
      <c r="F193" t="inlineStr">
        <is>
          <t>SKÅNE LÄN</t>
        </is>
      </c>
      <c r="G193" t="inlineStr">
        <is>
          <t>HÖRBY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6558-2025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45699</v>
      </c>
      <c r="E194" s="1" t="n">
        <v>46283</v>
      </c>
      <c r="F194" t="inlineStr">
        <is>
          <t>SKÅNE LÄN</t>
        </is>
      </c>
      <c r="G194" t="inlineStr">
        <is>
          <t>HÖRBY</t>
        </is>
      </c>
      <c r="H194" t="inlineStr">
        <is>
          <t>Kommuner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46283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46283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44775</v>
      </c>
      <c r="E197" s="1" t="n">
        <v>46283</v>
      </c>
      <c r="F197" t="inlineStr">
        <is>
          <t>SKÅNE LÄN</t>
        </is>
      </c>
      <c r="G197" t="inlineStr">
        <is>
          <t>HÖRBY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46283</v>
      </c>
      <c r="F198" t="inlineStr">
        <is>
          <t>SKÅNE LÄN</t>
        </is>
      </c>
      <c r="G198" t="inlineStr">
        <is>
          <t>HÖRBY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46283</v>
      </c>
      <c r="F199" t="inlineStr">
        <is>
          <t>SKÅNE LÄN</t>
        </is>
      </c>
      <c r="G199" t="inlineStr">
        <is>
          <t>HÖRBY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46283</v>
      </c>
      <c r="F200" t="inlineStr">
        <is>
          <t>SKÅNE LÄN</t>
        </is>
      </c>
      <c r="G200" t="inlineStr">
        <is>
          <t>HÖRBY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46283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46283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46283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45688</v>
      </c>
      <c r="E204" s="1" t="n">
        <v>46283</v>
      </c>
      <c r="F204" t="inlineStr">
        <is>
          <t>SKÅNE LÄN</t>
        </is>
      </c>
      <c r="G204" t="inlineStr">
        <is>
          <t>HÖRBY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8310-2026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46283</v>
      </c>
      <c r="F205" t="inlineStr">
        <is>
          <t>SKÅNE LÄN</t>
        </is>
      </c>
      <c r="G205" t="inlineStr">
        <is>
          <t>HÖRBY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45128</v>
      </c>
      <c r="E206" s="1" t="n">
        <v>46283</v>
      </c>
      <c r="F206" t="inlineStr">
        <is>
          <t>SKÅNE LÄN</t>
        </is>
      </c>
      <c r="G206" t="inlineStr">
        <is>
          <t>HÖRBY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45551</v>
      </c>
      <c r="E207" s="1" t="n">
        <v>46283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46283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46283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46283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44693</v>
      </c>
      <c r="E211" s="1" t="n">
        <v>46283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45203</v>
      </c>
      <c r="E212" s="1" t="n">
        <v>46283</v>
      </c>
      <c r="F212" t="inlineStr">
        <is>
          <t>SKÅNE LÄN</t>
        </is>
      </c>
      <c r="G212" t="inlineStr">
        <is>
          <t>HÖRBY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46283</v>
      </c>
      <c r="F213" t="inlineStr">
        <is>
          <t>SKÅNE LÄN</t>
        </is>
      </c>
      <c r="G213" t="inlineStr">
        <is>
          <t>HÖRBY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46283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46283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46283</v>
      </c>
      <c r="F216" t="inlineStr">
        <is>
          <t>SKÅNE LÄN</t>
        </is>
      </c>
      <c r="G216" t="inlineStr">
        <is>
          <t>HÖRBY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43711-2024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45569</v>
      </c>
      <c r="E217" s="1" t="n">
        <v>46283</v>
      </c>
      <c r="F217" t="inlineStr">
        <is>
          <t>SKÅNE LÄN</t>
        </is>
      </c>
      <c r="G217" t="inlineStr">
        <is>
          <t>HÖRBY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46283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46283</v>
      </c>
      <c r="F219" t="inlineStr">
        <is>
          <t>SKÅNE LÄN</t>
        </is>
      </c>
      <c r="G219" t="inlineStr">
        <is>
          <t>HÖRBY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46283</v>
      </c>
      <c r="F220" t="inlineStr">
        <is>
          <t>SKÅNE LÄN</t>
        </is>
      </c>
      <c r="G220" t="inlineStr">
        <is>
          <t>HÖRBY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46283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46283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46283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46283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220-2026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46051</v>
      </c>
      <c r="E225" s="1" t="n">
        <v>46283</v>
      </c>
      <c r="F225" t="inlineStr">
        <is>
          <t>SKÅNE LÄN</t>
        </is>
      </c>
      <c r="G225" t="inlineStr">
        <is>
          <t>HÖRBY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1874-2026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46283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1875-2026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46283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1873-2026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46283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2026-09-18T02:00:58Z</dcterms:created>
  <dcterms:modified xmlns:dcterms="http://purl.org/dc/terms/" xmlns:xsi="http://www.w3.org/2001/XMLSchema-instance" xsi:type="dcterms:W3CDTF">2026-09-18T02:00:58Z</dcterms:modified>
</cp:coreProperties>
</file>