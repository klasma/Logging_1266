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46324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46324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46324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46324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46324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46324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46324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46324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46324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46324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46324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46324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46324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46324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20193-2024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46324</v>
      </c>
      <c r="F19" t="inlineStr">
        <is>
          <t>SKÅNE LÄN</t>
        </is>
      </c>
      <c r="G19" t="inlineStr">
        <is>
          <t>HÖRBY</t>
        </is>
      </c>
      <c r="I19" t="n">
        <v>11.2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Vårärt
Strutbräken
Vätteros</t>
        </is>
      </c>
      <c r="W19">
        <f>HYPERLINK("https://klasma.github.io/Logging_1266/artfynd/A 20193-2024 artfynd.xlsx", "A 20193-2024")</f>
        <v/>
      </c>
      <c r="X19">
        <f>HYPERLINK("https://klasma.github.io/Logging_1266/kartor/A 20193-2024 karta.png", "A 20193-2024")</f>
        <v/>
      </c>
      <c r="Y19">
        <f>HYPERLINK("https://klasma.github.io/Logging_1266/kartor_geotiff/A 20193-2024 georefererad karta.tif", "A 20193-2024")</f>
        <v/>
      </c>
      <c r="AA19">
        <f>HYPERLINK("https://klasma.github.io/Logging_1266/klagomål/A 20193-2024 FSC-klagomål.docx", "A 20193-2024")</f>
        <v/>
      </c>
      <c r="AB19">
        <f>HYPERLINK("https://klasma.github.io/Logging_1266/klagomålsmail/A 20193-2024 FSC-klagomål mail.docx", "A 20193-2024")</f>
        <v/>
      </c>
      <c r="AC19">
        <f>HYPERLINK("https://klasma.github.io/Logging_1266/tillsyn/A 20193-2024 tillsynsbegäran.docx", "A 20193-2024")</f>
        <v/>
      </c>
      <c r="AD19">
        <f>HYPERLINK("https://klasma.github.io/Logging_1266/tillsynsmail/A 20193-2024 tillsynsbegäran mail.docx", "A 20193-2024")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46324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46324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46324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46324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40376-2023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45169</v>
      </c>
      <c r="E24" s="1" t="n">
        <v>46324</v>
      </c>
      <c r="F24" t="inlineStr">
        <is>
          <t>SKÅNE LÄN</t>
        </is>
      </c>
      <c r="G24" t="inlineStr">
        <is>
          <t>HÖRBY</t>
        </is>
      </c>
      <c r="I24" t="n">
        <v>2.7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HYPERLINK("https://klasma.github.io/Logging_1266/artfynd/A 40376-2023 artfynd.xlsx", "A 40376-2023")</f>
        <v/>
      </c>
      <c r="X24">
        <f>HYPERLINK("https://klasma.github.io/Logging_1266/kartor/A 40376-2023 karta.png", "A 40376-2023")</f>
        <v/>
      </c>
      <c r="Y24">
        <f>HYPERLINK("https://klasma.github.io/Logging_1266/kartor_geotiff/A 40376-2023 georefererad karta.tif", "A 40376-2023")</f>
        <v/>
      </c>
      <c r="AA24">
        <f>HYPERLINK("https://klasma.github.io/Logging_1266/klagomål/A 40376-2023 FSC-klagomål.docx", "A 40376-2023")</f>
        <v/>
      </c>
      <c r="AB24">
        <f>HYPERLINK("https://klasma.github.io/Logging_1266/klagomålsmail/A 40376-2023 FSC-klagomål mail.docx", "A 40376-2023")</f>
        <v/>
      </c>
      <c r="AC24">
        <f>HYPERLINK("https://klasma.github.io/Logging_1266/tillsyn/A 40376-2023 tillsynsbegäran.docx", "A 40376-2023")</f>
        <v/>
      </c>
      <c r="AD24">
        <f>HYPERLINK("https://klasma.github.io/Logging_1266/tillsynsmail/A 40376-2023 tillsynsbegäran mail.docx", "A 40376-2023")</f>
        <v/>
      </c>
      <c r="AE24">
        <f>HYPERLINK("https://klasma.github.io/Logging_1266/fåglar/A 40376-2023 prioriterade fågelarter.docx", "A 40376-2023")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46324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46324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46324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36362-2025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45868</v>
      </c>
      <c r="E28" s="1" t="n">
        <v>46324</v>
      </c>
      <c r="F28" t="inlineStr">
        <is>
          <t>SKÅNE LÄN</t>
        </is>
      </c>
      <c r="G28" t="inlineStr">
        <is>
          <t>HÖRBY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HYPERLINK("https://klasma.github.io/Logging_1266/artfynd/A 36362-2025 artfynd.xlsx", "A 36362-2025")</f>
        <v/>
      </c>
      <c r="X28">
        <f>HYPERLINK("https://klasma.github.io/Logging_1266/kartor/A 36362-2025 karta.png", "A 36362-2025")</f>
        <v/>
      </c>
      <c r="Y28">
        <f>HYPERLINK("https://klasma.github.io/Logging_1266/kartor_geotiff/A 36362-2025 georefererad karta.tif", "A 36362-2025")</f>
        <v/>
      </c>
      <c r="AA28">
        <f>HYPERLINK("https://klasma.github.io/Logging_1266/klagomål/A 36362-2025 FSC-klagomål.docx", "A 36362-2025")</f>
        <v/>
      </c>
      <c r="AB28">
        <f>HYPERLINK("https://klasma.github.io/Logging_1266/klagomålsmail/A 36362-2025 FSC-klagomål mail.docx", "A 36362-2025")</f>
        <v/>
      </c>
      <c r="AC28">
        <f>HYPERLINK("https://klasma.github.io/Logging_1266/tillsyn/A 36362-2025 tillsynsbegäran.docx", "A 36362-2025")</f>
        <v/>
      </c>
      <c r="AD28">
        <f>HYPERLINK("https://klasma.github.io/Logging_1266/tillsynsmail/A 36362-2025 tillsynsbegäran mail.docx", "A 36362-2025")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46324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46324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46324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31284-2026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46218</v>
      </c>
      <c r="E32" s="1" t="n">
        <v>46324</v>
      </c>
      <c r="F32" t="inlineStr">
        <is>
          <t>SKÅNE LÄN</t>
        </is>
      </c>
      <c r="G32" t="inlineStr">
        <is>
          <t>HÖRBY</t>
        </is>
      </c>
      <c r="I32" t="n">
        <v>6.8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groda</t>
        </is>
      </c>
      <c r="W32">
        <f>HYPERLINK("https://klasma.github.io/Logging_1266/artfynd/A 31284-2026 artfynd.xlsx", "A 31284-2026")</f>
        <v/>
      </c>
      <c r="X32">
        <f>HYPERLINK("https://klasma.github.io/Logging_1266/kartor/A 31284-2026 karta.png", "A 31284-2026")</f>
        <v/>
      </c>
      <c r="Y32">
        <f>HYPERLINK("https://klasma.github.io/Logging_1266/kartor_geotiff/A 31284-2026 georefererad karta.tif", "A 31284-2026")</f>
        <v/>
      </c>
      <c r="AA32">
        <f>HYPERLINK("https://klasma.github.io/Logging_1266/klagomål/A 31284-2026 FSC-klagomål.docx", "A 31284-2026")</f>
        <v/>
      </c>
      <c r="AB32">
        <f>HYPERLINK("https://klasma.github.io/Logging_1266/klagomålsmail/A 31284-2026 FSC-klagomål mail.docx", "A 31284-2026")</f>
        <v/>
      </c>
      <c r="AC32">
        <f>HYPERLINK("https://klasma.github.io/Logging_1266/tillsyn/A 31284-2026 tillsynsbegäran.docx", "A 31284-2026")</f>
        <v/>
      </c>
      <c r="AD32">
        <f>HYPERLINK("https://klasma.github.io/Logging_1266/tillsynsmail/A 31284-2026 tillsynsbegäran mail.docx", "A 31284-2026")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46324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46324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47612-2023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46324</v>
      </c>
      <c r="F35" t="inlineStr">
        <is>
          <t>SKÅNE LÄN</t>
        </is>
      </c>
      <c r="G35" t="inlineStr">
        <is>
          <t>HÖRBY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47612-2023 artfynd.xlsx", "A 47612-2023")</f>
        <v/>
      </c>
      <c r="X35">
        <f>HYPERLINK("https://klasma.github.io/Logging_1266/kartor/A 47612-2023 karta.png", "A 47612-2023")</f>
        <v/>
      </c>
      <c r="Y35">
        <f>HYPERLINK("https://klasma.github.io/Logging_1266/kartor_geotiff/A 47612-2023 georefererad karta.tif", "A 47612-2023")</f>
        <v/>
      </c>
      <c r="AA35">
        <f>HYPERLINK("https://klasma.github.io/Logging_1266/klagomål/A 47612-2023 FSC-klagomål.docx", "A 47612-2023")</f>
        <v/>
      </c>
      <c r="AB35">
        <f>HYPERLINK("https://klasma.github.io/Logging_1266/klagomålsmail/A 47612-2023 FSC-klagomål mail.docx", "A 47612-2023")</f>
        <v/>
      </c>
      <c r="AC35">
        <f>HYPERLINK("https://klasma.github.io/Logging_1266/tillsyn/A 47612-2023 tillsynsbegäran.docx", "A 47612-2023")</f>
        <v/>
      </c>
      <c r="AD35">
        <f>HYPERLINK("https://klasma.github.io/Logging_1266/tillsynsmail/A 47612-2023 tillsynsbegäran mail.docx", "A 47612-2023")</f>
        <v/>
      </c>
    </row>
    <row r="36" ht="15" customHeight="1">
      <c r="A36" t="inlineStr">
        <is>
          <t>A 30165-2026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46206</v>
      </c>
      <c r="E36" s="1" t="n">
        <v>46324</v>
      </c>
      <c r="F36" t="inlineStr">
        <is>
          <t>SKÅNE LÄN</t>
        </is>
      </c>
      <c r="G36" t="inlineStr">
        <is>
          <t>HÖRBY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HYPERLINK("https://klasma.github.io/Logging_1266/artfynd/A 30165-2026 artfynd.xlsx", "A 30165-2026")</f>
        <v/>
      </c>
      <c r="X36">
        <f>HYPERLINK("https://klasma.github.io/Logging_1266/kartor/A 30165-2026 karta.png", "A 30165-2026")</f>
        <v/>
      </c>
      <c r="Y36">
        <f>HYPERLINK("https://klasma.github.io/Logging_1266/kartor_geotiff/A 30165-2026 georefererad karta.tif", "A 30165-2026")</f>
        <v/>
      </c>
      <c r="AA36">
        <f>HYPERLINK("https://klasma.github.io/Logging_1266/klagomål/A 30165-2026 FSC-klagomål.docx", "A 30165-2026")</f>
        <v/>
      </c>
      <c r="AB36">
        <f>HYPERLINK("https://klasma.github.io/Logging_1266/klagomålsmail/A 30165-2026 FSC-klagomål mail.docx", "A 30165-2026")</f>
        <v/>
      </c>
      <c r="AC36">
        <f>HYPERLINK("https://klasma.github.io/Logging_1266/tillsyn/A 30165-2026 tillsynsbegäran.docx", "A 30165-2026")</f>
        <v/>
      </c>
      <c r="AD36">
        <f>HYPERLINK("https://klasma.github.io/Logging_1266/tillsynsmail/A 30165-2026 tillsynsbegäran mail.docx", "A 30165-2026")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46324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46324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46324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43937-2023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46324</v>
      </c>
      <c r="F46" t="inlineStr">
        <is>
          <t>SKÅNE LÄN</t>
        </is>
      </c>
      <c r="G46" t="inlineStr">
        <is>
          <t>HÖRBY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43939-2023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46324</v>
      </c>
      <c r="F47" t="inlineStr">
        <is>
          <t>SKÅNE LÄN</t>
        </is>
      </c>
      <c r="G47" t="inlineStr">
        <is>
          <t>HÖRBY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28501-2023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45103</v>
      </c>
      <c r="E48" s="1" t="n">
        <v>46324</v>
      </c>
      <c r="F48" t="inlineStr">
        <is>
          <t>SKÅNE LÄN</t>
        </is>
      </c>
      <c r="G48" t="inlineStr">
        <is>
          <t>HÖRBY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28527-2023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46324</v>
      </c>
      <c r="F49" t="inlineStr">
        <is>
          <t>SKÅNE LÄN</t>
        </is>
      </c>
      <c r="G49" t="inlineStr">
        <is>
          <t>HÖRBY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46324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33571-2022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46324</v>
      </c>
      <c r="F51" t="inlineStr">
        <is>
          <t>SKÅNE LÄN</t>
        </is>
      </c>
      <c r="G51" t="inlineStr">
        <is>
          <t>HÖRBY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46324</v>
      </c>
      <c r="F52" t="inlineStr">
        <is>
          <t>SKÅNE LÄN</t>
        </is>
      </c>
      <c r="G52" t="inlineStr">
        <is>
          <t>HÖRBY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45540</v>
      </c>
      <c r="E53" s="1" t="n">
        <v>46324</v>
      </c>
      <c r="F53" t="inlineStr">
        <is>
          <t>SKÅNE LÄN</t>
        </is>
      </c>
      <c r="G53" t="inlineStr">
        <is>
          <t>HÖRBY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24670-2024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45460</v>
      </c>
      <c r="E54" s="1" t="n">
        <v>46324</v>
      </c>
      <c r="F54" t="inlineStr">
        <is>
          <t>SKÅNE LÄN</t>
        </is>
      </c>
      <c r="G54" t="inlineStr">
        <is>
          <t>HÖRBY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46324</v>
      </c>
      <c r="F55" t="inlineStr">
        <is>
          <t>SKÅNE LÄN</t>
        </is>
      </c>
      <c r="G55" t="inlineStr">
        <is>
          <t>HÖRBY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36689-2024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46324</v>
      </c>
      <c r="F56" t="inlineStr">
        <is>
          <t>SKÅNE LÄN</t>
        </is>
      </c>
      <c r="G56" t="inlineStr">
        <is>
          <t>HÖRBY</t>
        </is>
      </c>
      <c r="H56" t="inlineStr">
        <is>
          <t>Sveaskog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45315</v>
      </c>
      <c r="E57" s="1" t="n">
        <v>46324</v>
      </c>
      <c r="F57" t="inlineStr">
        <is>
          <t>SKÅNE LÄN</t>
        </is>
      </c>
      <c r="G57" t="inlineStr">
        <is>
          <t>HÖRBY</t>
        </is>
      </c>
      <c r="H57" t="inlineStr">
        <is>
          <t>Kyrkan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43711-2024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45569</v>
      </c>
      <c r="E58" s="1" t="n">
        <v>46324</v>
      </c>
      <c r="F58" t="inlineStr">
        <is>
          <t>SKÅNE LÄN</t>
        </is>
      </c>
      <c r="G58" t="inlineStr">
        <is>
          <t>HÖRBY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23484-2025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46324</v>
      </c>
      <c r="F59" t="inlineStr">
        <is>
          <t>SKÅNE LÄN</t>
        </is>
      </c>
      <c r="G59" t="inlineStr">
        <is>
          <t>HÖRBY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44775</v>
      </c>
      <c r="E60" s="1" t="n">
        <v>46324</v>
      </c>
      <c r="F60" t="inlineStr">
        <is>
          <t>SKÅNE LÄN</t>
        </is>
      </c>
      <c r="G60" t="inlineStr">
        <is>
          <t>HÖRBY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45616</v>
      </c>
      <c r="E61" s="1" t="n">
        <v>46324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60913-2023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45261</v>
      </c>
      <c r="E62" s="1" t="n">
        <v>46324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45572</v>
      </c>
      <c r="E63" s="1" t="n">
        <v>46324</v>
      </c>
      <c r="F63" t="inlineStr">
        <is>
          <t>SKÅNE LÄN</t>
        </is>
      </c>
      <c r="G63" t="inlineStr">
        <is>
          <t>HÖRBY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46324</v>
      </c>
      <c r="F64" t="inlineStr">
        <is>
          <t>SKÅNE LÄN</t>
        </is>
      </c>
      <c r="G64" t="inlineStr">
        <is>
          <t>HÖRBY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46324</v>
      </c>
      <c r="F65" t="inlineStr">
        <is>
          <t>SKÅNE LÄN</t>
        </is>
      </c>
      <c r="G65" t="inlineStr">
        <is>
          <t>HÖRBY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46324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46324</v>
      </c>
      <c r="F67" t="inlineStr">
        <is>
          <t>SKÅNE LÄN</t>
        </is>
      </c>
      <c r="G67" t="inlineStr">
        <is>
          <t>HÖRBY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46324</v>
      </c>
      <c r="F68" t="inlineStr">
        <is>
          <t>SKÅNE LÄN</t>
        </is>
      </c>
      <c r="G68" t="inlineStr">
        <is>
          <t>HÖRBY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45435</v>
      </c>
      <c r="E69" s="1" t="n">
        <v>46324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44935</v>
      </c>
      <c r="E70" s="1" t="n">
        <v>46324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29244-2025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46324</v>
      </c>
      <c r="F71" t="inlineStr">
        <is>
          <t>SKÅNE LÄN</t>
        </is>
      </c>
      <c r="G71" t="inlineStr">
        <is>
          <t>HÖRBY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46324</v>
      </c>
      <c r="F72" t="inlineStr">
        <is>
          <t>SKÅNE LÄN</t>
        </is>
      </c>
      <c r="G72" t="inlineStr">
        <is>
          <t>HÖRBY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45680</v>
      </c>
      <c r="E73" s="1" t="n">
        <v>46324</v>
      </c>
      <c r="F73" t="inlineStr">
        <is>
          <t>SKÅNE LÄN</t>
        </is>
      </c>
      <c r="G73" t="inlineStr">
        <is>
          <t>HÖRBY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45128</v>
      </c>
      <c r="E74" s="1" t="n">
        <v>46324</v>
      </c>
      <c r="F74" t="inlineStr">
        <is>
          <t>SKÅNE LÄN</t>
        </is>
      </c>
      <c r="G74" t="inlineStr">
        <is>
          <t>HÖRBY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46324</v>
      </c>
      <c r="F75" t="inlineStr">
        <is>
          <t>SKÅNE LÄN</t>
        </is>
      </c>
      <c r="G75" t="inlineStr">
        <is>
          <t>HÖRBY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46324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34154-2025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45845</v>
      </c>
      <c r="E77" s="1" t="n">
        <v>46324</v>
      </c>
      <c r="F77" t="inlineStr">
        <is>
          <t>SKÅNE LÄN</t>
        </is>
      </c>
      <c r="G77" t="inlineStr">
        <is>
          <t>HÖRBY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24724-2024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45460</v>
      </c>
      <c r="E78" s="1" t="n">
        <v>46324</v>
      </c>
      <c r="F78" t="inlineStr">
        <is>
          <t>SKÅNE LÄN</t>
        </is>
      </c>
      <c r="G78" t="inlineStr">
        <is>
          <t>HÖRBY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46324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58641-2023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45251</v>
      </c>
      <c r="E80" s="1" t="n">
        <v>46324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46324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46324</v>
      </c>
      <c r="F82" t="inlineStr">
        <is>
          <t>SKÅNE LÄN</t>
        </is>
      </c>
      <c r="G82" t="inlineStr">
        <is>
          <t>HÖRBY</t>
        </is>
      </c>
      <c r="H82" t="inlineStr">
        <is>
          <t>Kyrkan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46324</v>
      </c>
      <c r="F83" t="inlineStr">
        <is>
          <t>SKÅNE LÄN</t>
        </is>
      </c>
      <c r="G83" t="inlineStr">
        <is>
          <t>HÖRBY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45316</v>
      </c>
      <c r="E84" s="1" t="n">
        <v>46324</v>
      </c>
      <c r="F84" t="inlineStr">
        <is>
          <t>SKÅNE LÄN</t>
        </is>
      </c>
      <c r="G84" t="inlineStr">
        <is>
          <t>HÖRBY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45405</v>
      </c>
      <c r="E85" s="1" t="n">
        <v>46324</v>
      </c>
      <c r="F85" t="inlineStr">
        <is>
          <t>SKÅNE LÄN</t>
        </is>
      </c>
      <c r="G85" t="inlineStr">
        <is>
          <t>HÖRBY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45043</v>
      </c>
      <c r="E86" s="1" t="n">
        <v>46324</v>
      </c>
      <c r="F86" t="inlineStr">
        <is>
          <t>SKÅNE LÄN</t>
        </is>
      </c>
      <c r="G86" t="inlineStr">
        <is>
          <t>HÖRBY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46324</v>
      </c>
      <c r="F87" t="inlineStr">
        <is>
          <t>SKÅNE LÄN</t>
        </is>
      </c>
      <c r="G87" t="inlineStr">
        <is>
          <t>HÖRBY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46324</v>
      </c>
      <c r="F88" t="inlineStr">
        <is>
          <t>SKÅNE LÄN</t>
        </is>
      </c>
      <c r="G88" t="inlineStr">
        <is>
          <t>HÖRBY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45105</v>
      </c>
      <c r="E89" s="1" t="n">
        <v>46324</v>
      </c>
      <c r="F89" t="inlineStr">
        <is>
          <t>SKÅNE LÄN</t>
        </is>
      </c>
      <c r="G89" t="inlineStr">
        <is>
          <t>HÖRBY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46324</v>
      </c>
      <c r="F90" t="inlineStr">
        <is>
          <t>SKÅNE LÄN</t>
        </is>
      </c>
      <c r="G90" t="inlineStr">
        <is>
          <t>HÖRBY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46324</v>
      </c>
      <c r="F91" t="inlineStr">
        <is>
          <t>SKÅNE LÄN</t>
        </is>
      </c>
      <c r="G91" t="inlineStr">
        <is>
          <t>HÖRBY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46324</v>
      </c>
      <c r="F92" t="inlineStr">
        <is>
          <t>SKÅNE LÄN</t>
        </is>
      </c>
      <c r="G92" t="inlineStr">
        <is>
          <t>HÖRBY</t>
        </is>
      </c>
      <c r="I92" t="n">
        <v>18.7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46324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45117</v>
      </c>
      <c r="E94" s="1" t="n">
        <v>46324</v>
      </c>
      <c r="F94" t="inlineStr">
        <is>
          <t>SKÅNE LÄN</t>
        </is>
      </c>
      <c r="G94" t="inlineStr">
        <is>
          <t>HÖRBY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46324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51757-2025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45951</v>
      </c>
      <c r="E96" s="1" t="n">
        <v>46324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45882</v>
      </c>
      <c r="E97" s="1" t="n">
        <v>46324</v>
      </c>
      <c r="F97" t="inlineStr">
        <is>
          <t>SKÅNE LÄN</t>
        </is>
      </c>
      <c r="G97" t="inlineStr">
        <is>
          <t>HÖRBY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2816-2025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45677</v>
      </c>
      <c r="E98" s="1" t="n">
        <v>46324</v>
      </c>
      <c r="F98" t="inlineStr">
        <is>
          <t>SKÅNE LÄN</t>
        </is>
      </c>
      <c r="G98" t="inlineStr">
        <is>
          <t>HÖRBY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34422-2024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45525</v>
      </c>
      <c r="E99" s="1" t="n">
        <v>46324</v>
      </c>
      <c r="F99" t="inlineStr">
        <is>
          <t>SKÅNE LÄN</t>
        </is>
      </c>
      <c r="G99" t="inlineStr">
        <is>
          <t>HÖRBY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46324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46324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46324</v>
      </c>
      <c r="F102" t="inlineStr">
        <is>
          <t>SKÅNE LÄN</t>
        </is>
      </c>
      <c r="G102" t="inlineStr">
        <is>
          <t>HÖRBY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46324</v>
      </c>
      <c r="F103" t="inlineStr">
        <is>
          <t>SKÅNE LÄN</t>
        </is>
      </c>
      <c r="G103" t="inlineStr">
        <is>
          <t>HÖRBY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55304-2025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45970</v>
      </c>
      <c r="E104" s="1" t="n">
        <v>46324</v>
      </c>
      <c r="F104" t="inlineStr">
        <is>
          <t>SKÅNE LÄN</t>
        </is>
      </c>
      <c r="G104" t="inlineStr">
        <is>
          <t>HÖRBY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46324</v>
      </c>
      <c r="F105" t="inlineStr">
        <is>
          <t>SKÅNE LÄN</t>
        </is>
      </c>
      <c r="G105" t="inlineStr">
        <is>
          <t>HÖRBY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46324</v>
      </c>
      <c r="F106" t="inlineStr">
        <is>
          <t>SKÅNE LÄN</t>
        </is>
      </c>
      <c r="G106" t="inlineStr">
        <is>
          <t>HÖRBY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46324</v>
      </c>
      <c r="F107" t="inlineStr">
        <is>
          <t>SKÅNE LÄN</t>
        </is>
      </c>
      <c r="G107" t="inlineStr">
        <is>
          <t>HÖRBY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46324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46324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28785-2023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45104</v>
      </c>
      <c r="E110" s="1" t="n">
        <v>46324</v>
      </c>
      <c r="F110" t="inlineStr">
        <is>
          <t>SKÅNE LÄN</t>
        </is>
      </c>
      <c r="G110" t="inlineStr">
        <is>
          <t>HÖRBY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46324</v>
      </c>
      <c r="F111" t="inlineStr">
        <is>
          <t>SKÅNE LÄN</t>
        </is>
      </c>
      <c r="G111" t="inlineStr">
        <is>
          <t>HÖRBY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19420-2022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44693</v>
      </c>
      <c r="E112" s="1" t="n">
        <v>46324</v>
      </c>
      <c r="F112" t="inlineStr">
        <is>
          <t>SKÅNE LÄN</t>
        </is>
      </c>
      <c r="G112" t="inlineStr">
        <is>
          <t>HÖRBY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46324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46324</v>
      </c>
      <c r="F114" t="inlineStr">
        <is>
          <t>SKÅNE LÄN</t>
        </is>
      </c>
      <c r="G114" t="inlineStr">
        <is>
          <t>HÖRBY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46324</v>
      </c>
      <c r="F115" t="inlineStr">
        <is>
          <t>SKÅNE LÄN</t>
        </is>
      </c>
      <c r="G115" t="inlineStr">
        <is>
          <t>HÖRBY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44928</v>
      </c>
      <c r="E116" s="1" t="n">
        <v>46324</v>
      </c>
      <c r="F116" t="inlineStr">
        <is>
          <t>SKÅNE LÄN</t>
        </is>
      </c>
      <c r="G116" t="inlineStr">
        <is>
          <t>HÖRBY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46324</v>
      </c>
      <c r="F117" t="inlineStr">
        <is>
          <t>SKÅNE LÄN</t>
        </is>
      </c>
      <c r="G117" t="inlineStr">
        <is>
          <t>HÖRBY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44810</v>
      </c>
      <c r="E118" s="1" t="n">
        <v>46324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37728-2022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44810</v>
      </c>
      <c r="E119" s="1" t="n">
        <v>46324</v>
      </c>
      <c r="F119" t="inlineStr">
        <is>
          <t>SKÅNE LÄN</t>
        </is>
      </c>
      <c r="G119" t="inlineStr">
        <is>
          <t>HÖRBY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46324</v>
      </c>
      <c r="F120" t="inlineStr">
        <is>
          <t>SKÅNE LÄN</t>
        </is>
      </c>
      <c r="G120" t="inlineStr">
        <is>
          <t>HÖRBY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46324</v>
      </c>
      <c r="F121" t="inlineStr">
        <is>
          <t>SKÅNE LÄN</t>
        </is>
      </c>
      <c r="G121" t="inlineStr">
        <is>
          <t>HÖRBY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45521</v>
      </c>
      <c r="E122" s="1" t="n">
        <v>46324</v>
      </c>
      <c r="F122" t="inlineStr">
        <is>
          <t>SKÅNE LÄN</t>
        </is>
      </c>
      <c r="G122" t="inlineStr">
        <is>
          <t>HÖRBY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46324</v>
      </c>
      <c r="F123" t="inlineStr">
        <is>
          <t>SKÅNE LÄN</t>
        </is>
      </c>
      <c r="G123" t="inlineStr">
        <is>
          <t>HÖRBY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46324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46324</v>
      </c>
      <c r="F125" t="inlineStr">
        <is>
          <t>SKÅNE LÄN</t>
        </is>
      </c>
      <c r="G125" t="inlineStr">
        <is>
          <t>HÖRBY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46324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46324</v>
      </c>
      <c r="F127" t="inlineStr">
        <is>
          <t>SKÅNE LÄN</t>
        </is>
      </c>
      <c r="G127" t="inlineStr">
        <is>
          <t>HÖRBY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46324</v>
      </c>
      <c r="F128" t="inlineStr">
        <is>
          <t>SKÅNE LÄN</t>
        </is>
      </c>
      <c r="G128" t="inlineStr">
        <is>
          <t>HÖRBY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45405</v>
      </c>
      <c r="E129" s="1" t="n">
        <v>46324</v>
      </c>
      <c r="F129" t="inlineStr">
        <is>
          <t>SKÅNE LÄN</t>
        </is>
      </c>
      <c r="G129" t="inlineStr">
        <is>
          <t>HÖRBY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45502</v>
      </c>
      <c r="E130" s="1" t="n">
        <v>46324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45391</v>
      </c>
      <c r="E131" s="1" t="n">
        <v>46324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46324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46324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3177-2026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46041</v>
      </c>
      <c r="E134" s="1" t="n">
        <v>46324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46324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46324</v>
      </c>
      <c r="F136" t="inlineStr">
        <is>
          <t>SKÅNE LÄN</t>
        </is>
      </c>
      <c r="G136" t="inlineStr">
        <is>
          <t>HÖRBY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45478</v>
      </c>
      <c r="E137" s="1" t="n">
        <v>46324</v>
      </c>
      <c r="F137" t="inlineStr">
        <is>
          <t>SKÅNE LÄN</t>
        </is>
      </c>
      <c r="G137" t="inlineStr">
        <is>
          <t>HÖRBY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46324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46324</v>
      </c>
      <c r="F139" t="inlineStr">
        <is>
          <t>SKÅNE LÄN</t>
        </is>
      </c>
      <c r="G139" t="inlineStr">
        <is>
          <t>HÖRBY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46324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46050</v>
      </c>
      <c r="E141" s="1" t="n">
        <v>46324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45988</v>
      </c>
      <c r="E142" s="1" t="n">
        <v>46324</v>
      </c>
      <c r="F142" t="inlineStr">
        <is>
          <t>SKÅNE LÄN</t>
        </is>
      </c>
      <c r="G142" t="inlineStr">
        <is>
          <t>HÖRBY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46324</v>
      </c>
      <c r="F143" t="inlineStr">
        <is>
          <t>SKÅNE LÄN</t>
        </is>
      </c>
      <c r="G143" t="inlineStr">
        <is>
          <t>HÖRBY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46324</v>
      </c>
      <c r="F144" t="inlineStr">
        <is>
          <t>SKÅNE LÄN</t>
        </is>
      </c>
      <c r="G144" t="inlineStr">
        <is>
          <t>HÖRBY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46324</v>
      </c>
      <c r="F145" t="inlineStr">
        <is>
          <t>SKÅNE LÄN</t>
        </is>
      </c>
      <c r="G145" t="inlineStr">
        <is>
          <t>HÖRBY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46112</v>
      </c>
      <c r="E146" s="1" t="n">
        <v>46324</v>
      </c>
      <c r="F146" t="inlineStr">
        <is>
          <t>SKÅNE LÄN</t>
        </is>
      </c>
      <c r="G146" t="inlineStr">
        <is>
          <t>HÖRBY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6558-2025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45699</v>
      </c>
      <c r="E147" s="1" t="n">
        <v>46324</v>
      </c>
      <c r="F147" t="inlineStr">
        <is>
          <t>SKÅNE LÄN</t>
        </is>
      </c>
      <c r="G147" t="inlineStr">
        <is>
          <t>HÖRBY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46324</v>
      </c>
      <c r="F148" t="inlineStr">
        <is>
          <t>SKÅNE LÄN</t>
        </is>
      </c>
      <c r="G148" t="inlineStr">
        <is>
          <t>HÖRBY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46324</v>
      </c>
      <c r="F149" t="inlineStr">
        <is>
          <t>SKÅNE LÄN</t>
        </is>
      </c>
      <c r="G149" t="inlineStr">
        <is>
          <t>HÖRBY</t>
        </is>
      </c>
      <c r="H149" t="inlineStr">
        <is>
          <t>Kyrkan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44833</v>
      </c>
      <c r="E150" s="1" t="n">
        <v>46324</v>
      </c>
      <c r="F150" t="inlineStr">
        <is>
          <t>SKÅNE LÄN</t>
        </is>
      </c>
      <c r="G150" t="inlineStr">
        <is>
          <t>HÖRBY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29138-2026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46202</v>
      </c>
      <c r="E151" s="1" t="n">
        <v>46324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33358-2023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45128</v>
      </c>
      <c r="E152" s="1" t="n">
        <v>46324</v>
      </c>
      <c r="F152" t="inlineStr">
        <is>
          <t>SKÅNE LÄN</t>
        </is>
      </c>
      <c r="G152" t="inlineStr">
        <is>
          <t>HÖRBY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46324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29135-2026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46202</v>
      </c>
      <c r="E154" s="1" t="n">
        <v>46324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29137-2026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46202</v>
      </c>
      <c r="E155" s="1" t="n">
        <v>46324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47641-2023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45203</v>
      </c>
      <c r="E156" s="1" t="n">
        <v>46324</v>
      </c>
      <c r="F156" t="inlineStr">
        <is>
          <t>SKÅNE LÄN</t>
        </is>
      </c>
      <c r="G156" t="inlineStr">
        <is>
          <t>HÖRBY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44814</v>
      </c>
      <c r="E157" s="1" t="n">
        <v>46324</v>
      </c>
      <c r="F157" t="inlineStr">
        <is>
          <t>SKÅNE LÄN</t>
        </is>
      </c>
      <c r="G157" t="inlineStr">
        <is>
          <t>HÖRBY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45317</v>
      </c>
      <c r="E158" s="1" t="n">
        <v>46324</v>
      </c>
      <c r="F158" t="inlineStr">
        <is>
          <t>SKÅNE LÄN</t>
        </is>
      </c>
      <c r="G158" t="inlineStr">
        <is>
          <t>HÖRBY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46324</v>
      </c>
      <c r="F159" t="inlineStr">
        <is>
          <t>SKÅNE LÄN</t>
        </is>
      </c>
      <c r="G159" t="inlineStr">
        <is>
          <t>HÖRBY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46324</v>
      </c>
      <c r="F160" t="inlineStr">
        <is>
          <t>SKÅNE LÄN</t>
        </is>
      </c>
      <c r="G160" t="inlineStr">
        <is>
          <t>HÖRBY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45551</v>
      </c>
      <c r="E161" s="1" t="n">
        <v>46324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46324</v>
      </c>
      <c r="F162" t="inlineStr">
        <is>
          <t>SKÅNE LÄN</t>
        </is>
      </c>
      <c r="G162" t="inlineStr">
        <is>
          <t>HÖRBY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46324</v>
      </c>
      <c r="F163" t="inlineStr">
        <is>
          <t>SKÅNE LÄN</t>
        </is>
      </c>
      <c r="G163" t="inlineStr">
        <is>
          <t>HÖRBY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46324</v>
      </c>
      <c r="F164" t="inlineStr">
        <is>
          <t>SKÅNE LÄN</t>
        </is>
      </c>
      <c r="G164" t="inlineStr">
        <is>
          <t>HÖRBY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46324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23606-2026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46162</v>
      </c>
      <c r="E166" s="1" t="n">
        <v>46324</v>
      </c>
      <c r="F166" t="inlineStr">
        <is>
          <t>SKÅNE LÄN</t>
        </is>
      </c>
      <c r="G166" t="inlineStr">
        <is>
          <t>HÖRBY</t>
        </is>
      </c>
      <c r="I166" t="n">
        <v>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46324</v>
      </c>
      <c r="F167" t="inlineStr">
        <is>
          <t>SKÅNE LÄN</t>
        </is>
      </c>
      <c r="G167" t="inlineStr">
        <is>
          <t>HÖRBY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46213</v>
      </c>
      <c r="E168" s="1" t="n">
        <v>46324</v>
      </c>
      <c r="F168" t="inlineStr">
        <is>
          <t>SKÅNE LÄN</t>
        </is>
      </c>
      <c r="G168" t="inlineStr">
        <is>
          <t>HÖRBY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45970</v>
      </c>
      <c r="E169" s="1" t="n">
        <v>46324</v>
      </c>
      <c r="F169" t="inlineStr">
        <is>
          <t>SKÅNE LÄN</t>
        </is>
      </c>
      <c r="G169" t="inlineStr">
        <is>
          <t>HÖRBY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46218</v>
      </c>
      <c r="E170" s="1" t="n">
        <v>46324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45224</v>
      </c>
      <c r="E171" s="1" t="n">
        <v>46324</v>
      </c>
      <c r="F171" t="inlineStr">
        <is>
          <t>SKÅNE LÄN</t>
        </is>
      </c>
      <c r="G171" t="inlineStr">
        <is>
          <t>HÖRBY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46324</v>
      </c>
      <c r="F172" t="inlineStr">
        <is>
          <t>SKÅNE LÄN</t>
        </is>
      </c>
      <c r="G172" t="inlineStr">
        <is>
          <t>HÖRBY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46324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46324</v>
      </c>
      <c r="F174" t="inlineStr">
        <is>
          <t>SKÅNE LÄN</t>
        </is>
      </c>
      <c r="G174" t="inlineStr">
        <is>
          <t>HÖRBY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46324</v>
      </c>
      <c r="F175" t="inlineStr">
        <is>
          <t>SKÅNE LÄN</t>
        </is>
      </c>
      <c r="G175" t="inlineStr">
        <is>
          <t>HÖRBY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46324</v>
      </c>
      <c r="F176" t="inlineStr">
        <is>
          <t>SKÅNE LÄN</t>
        </is>
      </c>
      <c r="G176" t="inlineStr">
        <is>
          <t>HÖRBY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46286</v>
      </c>
      <c r="E177" s="1" t="n">
        <v>46324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46286</v>
      </c>
      <c r="E178" s="1" t="n">
        <v>46324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46324</v>
      </c>
      <c r="F179" t="inlineStr">
        <is>
          <t>SKÅNE LÄN</t>
        </is>
      </c>
      <c r="G179" t="inlineStr">
        <is>
          <t>HÖRBY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46286</v>
      </c>
      <c r="E180" s="1" t="n">
        <v>46324</v>
      </c>
      <c r="F180" t="inlineStr">
        <is>
          <t>SKÅNE LÄN</t>
        </is>
      </c>
      <c r="G180" t="inlineStr">
        <is>
          <t>HÖRBY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46324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46324</v>
      </c>
      <c r="F182" t="inlineStr">
        <is>
          <t>SKÅNE LÄN</t>
        </is>
      </c>
      <c r="G182" t="inlineStr">
        <is>
          <t>HÖRBY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46286</v>
      </c>
      <c r="E183" s="1" t="n">
        <v>46324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45287</v>
      </c>
      <c r="E184" s="1" t="n">
        <v>46324</v>
      </c>
      <c r="F184" t="inlineStr">
        <is>
          <t>SKÅNE LÄN</t>
        </is>
      </c>
      <c r="G184" t="inlineStr">
        <is>
          <t>HÖRBY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46324</v>
      </c>
      <c r="F185" t="inlineStr">
        <is>
          <t>SKÅNE LÄN</t>
        </is>
      </c>
      <c r="G185" t="inlineStr">
        <is>
          <t>HÖRBY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46324</v>
      </c>
      <c r="F186" t="inlineStr">
        <is>
          <t>SKÅNE LÄN</t>
        </is>
      </c>
      <c r="G186" t="inlineStr">
        <is>
          <t>HÖRBY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46324</v>
      </c>
      <c r="F187" t="inlineStr">
        <is>
          <t>SKÅNE LÄN</t>
        </is>
      </c>
      <c r="G187" t="inlineStr">
        <is>
          <t>HÖRBY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46324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46324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46324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8084-2022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44608</v>
      </c>
      <c r="E191" s="1" t="n">
        <v>46324</v>
      </c>
      <c r="F191" t="inlineStr">
        <is>
          <t>SKÅNE LÄN</t>
        </is>
      </c>
      <c r="G191" t="inlineStr">
        <is>
          <t>HÖRBY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45572</v>
      </c>
      <c r="E192" s="1" t="n">
        <v>46324</v>
      </c>
      <c r="F192" t="inlineStr">
        <is>
          <t>SKÅNE LÄN</t>
        </is>
      </c>
      <c r="G192" t="inlineStr">
        <is>
          <t>HÖRBY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46324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46324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46324</v>
      </c>
      <c r="F195" t="inlineStr">
        <is>
          <t>SKÅNE LÄN</t>
        </is>
      </c>
      <c r="G195" t="inlineStr">
        <is>
          <t>HÖRBY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62277-2025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46324</v>
      </c>
      <c r="F196" t="inlineStr">
        <is>
          <t>SKÅNE LÄN</t>
        </is>
      </c>
      <c r="G196" t="inlineStr">
        <is>
          <t>HÖRBY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44944</v>
      </c>
      <c r="E197" s="1" t="n">
        <v>46324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46258</v>
      </c>
      <c r="E198" s="1" t="n">
        <v>46324</v>
      </c>
      <c r="F198" t="inlineStr">
        <is>
          <t>SKÅNE LÄN</t>
        </is>
      </c>
      <c r="G198" t="inlineStr">
        <is>
          <t>HÖRBY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46324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37082-2023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45155</v>
      </c>
      <c r="E200" s="1" t="n">
        <v>46324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46324</v>
      </c>
      <c r="F201" t="inlineStr">
        <is>
          <t>SKÅNE LÄN</t>
        </is>
      </c>
      <c r="G201" t="inlineStr">
        <is>
          <t>HÖRBY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46302</v>
      </c>
      <c r="E202" s="1" t="n">
        <v>46324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13.1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46324</v>
      </c>
      <c r="F203" t="inlineStr">
        <is>
          <t>SKÅNE LÄN</t>
        </is>
      </c>
      <c r="G203" t="inlineStr">
        <is>
          <t>HÖRBY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46285</v>
      </c>
      <c r="E204" s="1" t="n">
        <v>46324</v>
      </c>
      <c r="F204" t="inlineStr">
        <is>
          <t>SKÅNE LÄN</t>
        </is>
      </c>
      <c r="G204" t="inlineStr">
        <is>
          <t>HÖRBY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38080-2024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46324</v>
      </c>
      <c r="F205" t="inlineStr">
        <is>
          <t>SKÅNE LÄN</t>
        </is>
      </c>
      <c r="G205" t="inlineStr">
        <is>
          <t>HÖRBY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46324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46324</v>
      </c>
      <c r="F207" t="inlineStr">
        <is>
          <t>SKÅNE LÄN</t>
        </is>
      </c>
      <c r="G207" t="inlineStr">
        <is>
          <t>HÖRBY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46324</v>
      </c>
      <c r="F208" t="inlineStr">
        <is>
          <t>SKÅNE LÄN</t>
        </is>
      </c>
      <c r="G208" t="inlineStr">
        <is>
          <t>HÖRBY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46324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46324</v>
      </c>
      <c r="F210" t="inlineStr">
        <is>
          <t>SKÅNE LÄN</t>
        </is>
      </c>
      <c r="G210" t="inlineStr">
        <is>
          <t>HÖRBY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46310</v>
      </c>
      <c r="E211" s="1" t="n">
        <v>46324</v>
      </c>
      <c r="F211" t="inlineStr">
        <is>
          <t>SKÅNE LÄN</t>
        </is>
      </c>
      <c r="G211" t="inlineStr">
        <is>
          <t>HÖRBY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43882-2023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46324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44523</v>
      </c>
      <c r="E213" s="1" t="n">
        <v>46324</v>
      </c>
      <c r="F213" t="inlineStr">
        <is>
          <t>SKÅNE LÄN</t>
        </is>
      </c>
      <c r="G213" t="inlineStr">
        <is>
          <t>HÖRBY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44946</v>
      </c>
      <c r="E214" s="1" t="n">
        <v>46324</v>
      </c>
      <c r="F214" t="inlineStr">
        <is>
          <t>SKÅNE LÄN</t>
        </is>
      </c>
      <c r="G214" t="inlineStr">
        <is>
          <t>HÖRBY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45261</v>
      </c>
      <c r="E215" s="1" t="n">
        <v>46324</v>
      </c>
      <c r="F215" t="inlineStr">
        <is>
          <t>SKÅNE LÄN</t>
        </is>
      </c>
      <c r="G215" t="inlineStr">
        <is>
          <t>HÖRBY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43685-2022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44837</v>
      </c>
      <c r="E216" s="1" t="n">
        <v>46324</v>
      </c>
      <c r="F216" t="inlineStr">
        <is>
          <t>SKÅNE LÄN</t>
        </is>
      </c>
      <c r="G216" t="inlineStr">
        <is>
          <t>HÖRBY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46324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46317</v>
      </c>
      <c r="E218" s="1" t="n">
        <v>46324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46324</v>
      </c>
      <c r="F219" t="inlineStr">
        <is>
          <t>SKÅNE LÄN</t>
        </is>
      </c>
      <c r="G219" t="inlineStr">
        <is>
          <t>HÖRBY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45237</v>
      </c>
      <c r="E220" s="1" t="n">
        <v>46324</v>
      </c>
      <c r="F220" t="inlineStr">
        <is>
          <t>SKÅNE LÄN</t>
        </is>
      </c>
      <c r="G220" t="inlineStr">
        <is>
          <t>HÖRBY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46324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46324</v>
      </c>
      <c r="F222" t="inlineStr">
        <is>
          <t>SKÅNE LÄN</t>
        </is>
      </c>
      <c r="G222" t="inlineStr">
        <is>
          <t>HÖRBY</t>
        </is>
      </c>
      <c r="H222" t="inlineStr">
        <is>
          <t>Kyrkan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44303-2026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46319</v>
      </c>
      <c r="E223" s="1" t="n">
        <v>46324</v>
      </c>
      <c r="F223" t="inlineStr">
        <is>
          <t>SKÅNE LÄN</t>
        </is>
      </c>
      <c r="G223" t="inlineStr">
        <is>
          <t>HÖRBY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46324</v>
      </c>
      <c r="F224" t="inlineStr">
        <is>
          <t>SKÅNE LÄN</t>
        </is>
      </c>
      <c r="G224" t="inlineStr">
        <is>
          <t>HÖRBY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46280</v>
      </c>
      <c r="E225" s="1" t="n">
        <v>46324</v>
      </c>
      <c r="F225" t="inlineStr">
        <is>
          <t>SKÅNE LÄN</t>
        </is>
      </c>
      <c r="G225" t="inlineStr">
        <is>
          <t>HÖRBY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46324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46324</v>
      </c>
      <c r="F227" t="inlineStr">
        <is>
          <t>SKÅNE LÄN</t>
        </is>
      </c>
      <c r="G227" t="inlineStr">
        <is>
          <t>HÖRBY</t>
        </is>
      </c>
      <c r="H227" t="inlineStr">
        <is>
          <t>Kyrkan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46324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46324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46324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46324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46324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46324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46324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46324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220-2026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46051</v>
      </c>
      <c r="E236" s="1" t="n">
        <v>46324</v>
      </c>
      <c r="F236" t="inlineStr">
        <is>
          <t>SKÅNE LÄN</t>
        </is>
      </c>
      <c r="G236" t="inlineStr">
        <is>
          <t>HÖRBY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2026-10-29T03:13:32Z</dcterms:created>
  <dcterms:modified xmlns:dcterms="http://purl.org/dc/terms/" xmlns:xsi="http://www.w3.org/2001/XMLSchema-instance" xsi:type="dcterms:W3CDTF">2026-10-29T03:13:32Z</dcterms:modified>
</cp:coreProperties>
</file>