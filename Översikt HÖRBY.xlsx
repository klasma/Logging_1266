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46237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46237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46237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46237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46237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46237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46237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46237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46237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46237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39855-2022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44819</v>
      </c>
      <c r="E12" s="1" t="n">
        <v>46237</v>
      </c>
      <c r="F12" t="inlineStr">
        <is>
          <t>SKÅNE LÄN</t>
        </is>
      </c>
      <c r="G12" t="inlineStr">
        <is>
          <t>HÖRBY</t>
        </is>
      </c>
      <c r="I12" t="n">
        <v>4.2</v>
      </c>
      <c r="J12" t="n">
        <v>4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1</v>
      </c>
      <c r="V12" s="2" t="inlineStr">
        <is>
          <t>Ask
Skogsknipprot
Blåsippa
Fläcknycklar
Grönvit nattviol</t>
        </is>
      </c>
      <c r="W12">
        <f>HYPERLINK("https://klasma.github.io/Logging_1266/artfynd/A 39855-2022 artfynd.xlsx", "A 39855-2022")</f>
        <v/>
      </c>
      <c r="X12">
        <f>HYPERLINK("https://klasma.github.io/Logging_1266/kartor/A 39855-2022 karta.png", "A 39855-2022")</f>
        <v/>
      </c>
      <c r="Y12">
        <f>HYPERLINK("https://klasma.github.io/Logging_1266/kartor_geotiff/A 39855-2022 georefererad karta.tif", "A 39855-2022")</f>
        <v/>
      </c>
      <c r="AA12">
        <f>HYPERLINK("https://klasma.github.io/Logging_1266/klagomål/A 39855-2022 FSC-klagomål.docx", "A 39855-2022")</f>
        <v/>
      </c>
      <c r="AB12">
        <f>HYPERLINK("https://klasma.github.io/Logging_1266/klagomålsmail/A 39855-2022 FSC-klagomål mail.docx", "A 39855-2022")</f>
        <v/>
      </c>
      <c r="AC12">
        <f>HYPERLINK("https://klasma.github.io/Logging_1266/tillsyn/A 39855-2022 tillsynsbegäran.docx", "A 39855-2022")</f>
        <v/>
      </c>
      <c r="AD12">
        <f>HYPERLINK("https://klasma.github.io/Logging_1266/tillsynsmail/A 39855-2022 tillsynsbegäran mail.docx", "A 39855-2022")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46237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46237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46237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46237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46237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46237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46237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2823-2025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45677</v>
      </c>
      <c r="E20" s="1" t="n">
        <v>46237</v>
      </c>
      <c r="F20" t="inlineStr">
        <is>
          <t>SKÅNE LÄN</t>
        </is>
      </c>
      <c r="G20" t="inlineStr">
        <is>
          <t>HÖRBY</t>
        </is>
      </c>
      <c r="I20" t="n">
        <v>21.1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Borsttåg
Grönvit nattviol
Revlummer</t>
        </is>
      </c>
      <c r="W20">
        <f>HYPERLINK("https://klasma.github.io/Logging_1266/artfynd/A 2823-2025 artfynd.xlsx", "A 2823-2025")</f>
        <v/>
      </c>
      <c r="X20">
        <f>HYPERLINK("https://klasma.github.io/Logging_1266/kartor/A 2823-2025 karta.png", "A 2823-2025")</f>
        <v/>
      </c>
      <c r="Y20">
        <f>HYPERLINK("https://klasma.github.io/Logging_1266/kartor_geotiff/A 2823-2025 georefererad karta.tif", "A 2823-2025")</f>
        <v/>
      </c>
      <c r="AA20">
        <f>HYPERLINK("https://klasma.github.io/Logging_1266/klagomål/A 2823-2025 FSC-klagomål.docx", "A 2823-2025")</f>
        <v/>
      </c>
      <c r="AB20">
        <f>HYPERLINK("https://klasma.github.io/Logging_1266/klagomålsmail/A 2823-2025 FSC-klagomål mail.docx", "A 2823-2025")</f>
        <v/>
      </c>
      <c r="AC20">
        <f>HYPERLINK("https://klasma.github.io/Logging_1266/tillsyn/A 2823-2025 tillsynsbegäran.docx", "A 2823-2025")</f>
        <v/>
      </c>
      <c r="AD20">
        <f>HYPERLINK("https://klasma.github.io/Logging_1266/tillsynsmail/A 2823-2025 tillsynsbegäran mail.docx", "A 2823-2025")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46237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46237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A 824-2026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46030</v>
      </c>
      <c r="E23" s="1" t="n">
        <v>46237</v>
      </c>
      <c r="F23" t="inlineStr">
        <is>
          <t>SKÅNE LÄN</t>
        </is>
      </c>
      <c r="G23" t="inlineStr">
        <is>
          <t>HÖRBY</t>
        </is>
      </c>
      <c r="H23" t="inlineStr">
        <is>
          <t>Sveaskog</t>
        </is>
      </c>
      <c r="I23" t="n">
        <v>3.1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Hedblomster
Skogslysing</t>
        </is>
      </c>
      <c r="W23">
        <f>HYPERLINK("https://klasma.github.io/Logging_1266/artfynd/A 824-2026 artfynd.xlsx", "A 824-2026")</f>
        <v/>
      </c>
      <c r="X23">
        <f>HYPERLINK("https://klasma.github.io/Logging_1266/kartor/A 824-2026 karta.png", "A 824-2026")</f>
        <v/>
      </c>
      <c r="Y23">
        <f>HYPERLINK("https://klasma.github.io/Logging_1266/kartor_geotiff/A 824-2026 georefererad karta.tif", "A 824-2026")</f>
        <v/>
      </c>
      <c r="AA23">
        <f>HYPERLINK("https://klasma.github.io/Logging_1266/klagomål/A 824-2026 FSC-klagomål.docx", "A 824-2026")</f>
        <v/>
      </c>
      <c r="AB23">
        <f>HYPERLINK("https://klasma.github.io/Logging_1266/klagomålsmail/A 824-2026 FSC-klagomål mail.docx", "A 824-2026")</f>
        <v/>
      </c>
      <c r="AC23">
        <f>HYPERLINK("https://klasma.github.io/Logging_1266/tillsyn/A 824-2026 tillsynsbegäran.docx", "A 824-2026")</f>
        <v/>
      </c>
      <c r="AD23">
        <f>HYPERLINK("https://klasma.github.io/Logging_1266/tillsynsmail/A 824-2026 tillsynsbegäran mail.docx", "A 824-2026")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46237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46237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46237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24823-2026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46237</v>
      </c>
      <c r="F27" t="inlineStr">
        <is>
          <t>SKÅNE LÄN</t>
        </is>
      </c>
      <c r="G27" t="inlineStr">
        <is>
          <t>HÖRBY</t>
        </is>
      </c>
      <c r="H27" t="inlineStr">
        <is>
          <t>Sveaskog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Tandrot</t>
        </is>
      </c>
      <c r="W27">
        <f>HYPERLINK("https://klasma.github.io/Logging_1266/artfynd/A 24823-2026 artfynd.xlsx", "A 24823-2026")</f>
        <v/>
      </c>
      <c r="X27">
        <f>HYPERLINK("https://klasma.github.io/Logging_1266/kartor/A 24823-2026 karta.png", "A 24823-2026")</f>
        <v/>
      </c>
      <c r="Y27">
        <f>HYPERLINK("https://klasma.github.io/Logging_1266/kartor_geotiff/A 24823-2026 georefererad karta.tif", "A 24823-2026")</f>
        <v/>
      </c>
      <c r="AA27">
        <f>HYPERLINK("https://klasma.github.io/Logging_1266/klagomål/A 24823-2026 FSC-klagomål.docx", "A 24823-2026")</f>
        <v/>
      </c>
      <c r="AB27">
        <f>HYPERLINK("https://klasma.github.io/Logging_1266/klagomålsmail/A 24823-2026 FSC-klagomål mail.docx", "A 24823-2026")</f>
        <v/>
      </c>
      <c r="AC27">
        <f>HYPERLINK("https://klasma.github.io/Logging_1266/tillsyn/A 24823-2026 tillsynsbegäran.docx", "A 24823-2026")</f>
        <v/>
      </c>
      <c r="AD27">
        <f>HYPERLINK("https://klasma.github.io/Logging_1266/tillsynsmail/A 24823-2026 tillsynsbegäran mail.docx", "A 24823-2026")</f>
        <v/>
      </c>
    </row>
    <row r="28" ht="15" customHeight="1">
      <c r="A28" t="inlineStr">
        <is>
          <t>A 31284-2026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46218</v>
      </c>
      <c r="E28" s="1" t="n">
        <v>46237</v>
      </c>
      <c r="F28" t="inlineStr">
        <is>
          <t>SKÅNE LÄN</t>
        </is>
      </c>
      <c r="G28" t="inlineStr">
        <is>
          <t>HÖRBY</t>
        </is>
      </c>
      <c r="I28" t="n">
        <v>6.8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groda</t>
        </is>
      </c>
      <c r="W28">
        <f>HYPERLINK("https://klasma.github.io/Logging_1266/artfynd/A 31284-2026 artfynd.xlsx", "A 31284-2026")</f>
        <v/>
      </c>
      <c r="X28">
        <f>HYPERLINK("https://klasma.github.io/Logging_1266/kartor/A 31284-2026 karta.png", "A 31284-2026")</f>
        <v/>
      </c>
      <c r="Y28">
        <f>HYPERLINK("https://klasma.github.io/Logging_1266/kartor_geotiff/A 31284-2026 georefererad karta.tif", "A 31284-2026")</f>
        <v/>
      </c>
      <c r="AA28">
        <f>HYPERLINK("https://klasma.github.io/Logging_1266/klagomål/A 31284-2026 FSC-klagomål.docx", "A 31284-2026")</f>
        <v/>
      </c>
      <c r="AB28">
        <f>HYPERLINK("https://klasma.github.io/Logging_1266/klagomålsmail/A 31284-2026 FSC-klagomål mail.docx", "A 31284-2026")</f>
        <v/>
      </c>
      <c r="AC28">
        <f>HYPERLINK("https://klasma.github.io/Logging_1266/tillsyn/A 31284-2026 tillsynsbegäran.docx", "A 31284-2026")</f>
        <v/>
      </c>
      <c r="AD28">
        <f>HYPERLINK("https://klasma.github.io/Logging_1266/tillsynsmail/A 31284-2026 tillsynsbegäran mail.docx", "A 31284-2026")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46237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30165-2026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46206</v>
      </c>
      <c r="E30" s="1" t="n">
        <v>46237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30165-2026 artfynd.xlsx", "A 30165-2026")</f>
        <v/>
      </c>
      <c r="X30">
        <f>HYPERLINK("https://klasma.github.io/Logging_1266/kartor/A 30165-2026 karta.png", "A 30165-2026")</f>
        <v/>
      </c>
      <c r="Y30">
        <f>HYPERLINK("https://klasma.github.io/Logging_1266/kartor_geotiff/A 30165-2026 georefererad karta.tif", "A 30165-2026")</f>
        <v/>
      </c>
      <c r="AA30">
        <f>HYPERLINK("https://klasma.github.io/Logging_1266/klagomål/A 30165-2026 FSC-klagomål.docx", "A 30165-2026")</f>
        <v/>
      </c>
      <c r="AB30">
        <f>HYPERLINK("https://klasma.github.io/Logging_1266/klagomålsmail/A 30165-2026 FSC-klagomål mail.docx", "A 30165-2026")</f>
        <v/>
      </c>
      <c r="AC30">
        <f>HYPERLINK("https://klasma.github.io/Logging_1266/tillsyn/A 30165-2026 tillsynsbegäran.docx", "A 30165-2026")</f>
        <v/>
      </c>
      <c r="AD30">
        <f>HYPERLINK("https://klasma.github.io/Logging_1266/tillsynsmail/A 30165-2026 tillsynsbegäran mail.docx", "A 30165-2026")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46237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40376-2023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46237</v>
      </c>
      <c r="F32" t="inlineStr">
        <is>
          <t>SKÅNE LÄN</t>
        </is>
      </c>
      <c r="G32" t="inlineStr">
        <is>
          <t>HÖRBY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HYPERLINK("https://klasma.github.io/Logging_1266/artfynd/A 40376-2023 artfynd.xlsx", "A 40376-2023")</f>
        <v/>
      </c>
      <c r="X32">
        <f>HYPERLINK("https://klasma.github.io/Logging_1266/kartor/A 40376-2023 karta.png", "A 40376-2023")</f>
        <v/>
      </c>
      <c r="Y32">
        <f>HYPERLINK("https://klasma.github.io/Logging_1266/kartor_geotiff/A 40376-2023 georefererad karta.tif", "A 40376-2023")</f>
        <v/>
      </c>
      <c r="AA32">
        <f>HYPERLINK("https://klasma.github.io/Logging_1266/klagomål/A 40376-2023 FSC-klagomål.docx", "A 40376-2023")</f>
        <v/>
      </c>
      <c r="AB32">
        <f>HYPERLINK("https://klasma.github.io/Logging_1266/klagomålsmail/A 40376-2023 FSC-klagomål mail.docx", "A 40376-2023")</f>
        <v/>
      </c>
      <c r="AC32">
        <f>HYPERLINK("https://klasma.github.io/Logging_1266/tillsyn/A 40376-2023 tillsynsbegäran.docx", "A 40376-2023")</f>
        <v/>
      </c>
      <c r="AD32">
        <f>HYPERLINK("https://klasma.github.io/Logging_1266/tillsynsmail/A 40376-2023 tillsynsbegäran mail.docx", "A 40376-2023")</f>
        <v/>
      </c>
      <c r="AE32">
        <f>HYPERLINK("https://klasma.github.io/Logging_1266/fåglar/A 40376-2023 prioriterade fågelarter.docx", "A 40376-2023")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46237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31115-2024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46237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HYPERLINK("https://klasma.github.io/Logging_1266/artfynd/A 31115-2024 artfynd.xlsx", "A 31115-2024")</f>
        <v/>
      </c>
      <c r="X34">
        <f>HYPERLINK("https://klasma.github.io/Logging_1266/kartor/A 31115-2024 karta.png", "A 31115-2024")</f>
        <v/>
      </c>
      <c r="Y34">
        <f>HYPERLINK("https://klasma.github.io/Logging_1266/kartor_geotiff/A 31115-2024 georefererad karta.tif", "A 31115-2024")</f>
        <v/>
      </c>
      <c r="AA34">
        <f>HYPERLINK("https://klasma.github.io/Logging_1266/klagomål/A 31115-2024 FSC-klagomål.docx", "A 31115-2024")</f>
        <v/>
      </c>
      <c r="AB34">
        <f>HYPERLINK("https://klasma.github.io/Logging_1266/klagomålsmail/A 31115-2024 FSC-klagomål mail.docx", "A 31115-2024")</f>
        <v/>
      </c>
      <c r="AC34">
        <f>HYPERLINK("https://klasma.github.io/Logging_1266/tillsyn/A 31115-2024 tillsynsbegäran.docx", "A 31115-2024")</f>
        <v/>
      </c>
      <c r="AD34">
        <f>HYPERLINK("https://klasma.github.io/Logging_1266/tillsynsmail/A 31115-2024 tillsynsbegäran mail.docx", "A 31115-2024")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46237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46237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46237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46237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46237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46237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46237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46237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46237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46237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46237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46237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46237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46237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46237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36689-2024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45537</v>
      </c>
      <c r="E50" s="1" t="n">
        <v>46237</v>
      </c>
      <c r="F50" t="inlineStr">
        <is>
          <t>SKÅNE LÄN</t>
        </is>
      </c>
      <c r="G50" t="inlineStr">
        <is>
          <t>HÖRBY</t>
        </is>
      </c>
      <c r="H50" t="inlineStr">
        <is>
          <t>Sveaskog</t>
        </is>
      </c>
      <c r="I50" t="n">
        <v>9.5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46237</v>
      </c>
      <c r="F51" t="inlineStr">
        <is>
          <t>SKÅNE LÄN</t>
        </is>
      </c>
      <c r="G51" t="inlineStr">
        <is>
          <t>HÖRBY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44073-2024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45572</v>
      </c>
      <c r="E52" s="1" t="n">
        <v>46237</v>
      </c>
      <c r="F52" t="inlineStr">
        <is>
          <t>SKÅNE LÄN</t>
        </is>
      </c>
      <c r="G52" t="inlineStr">
        <is>
          <t>HÖRBY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45540</v>
      </c>
      <c r="E53" s="1" t="n">
        <v>46237</v>
      </c>
      <c r="F53" t="inlineStr">
        <is>
          <t>SKÅNE LÄN</t>
        </is>
      </c>
      <c r="G53" t="inlineStr">
        <is>
          <t>HÖRBY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46237</v>
      </c>
      <c r="F54" t="inlineStr">
        <is>
          <t>SKÅNE LÄN</t>
        </is>
      </c>
      <c r="G54" t="inlineStr">
        <is>
          <t>HÖRBY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45436</v>
      </c>
      <c r="E55" s="1" t="n">
        <v>46237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37082-2023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45155</v>
      </c>
      <c r="E56" s="1" t="n">
        <v>46237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46237</v>
      </c>
      <c r="F57" t="inlineStr">
        <is>
          <t>SKÅNE LÄN</t>
        </is>
      </c>
      <c r="G57" t="inlineStr">
        <is>
          <t>HÖRBY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45203</v>
      </c>
      <c r="E58" s="1" t="n">
        <v>46237</v>
      </c>
      <c r="F58" t="inlineStr">
        <is>
          <t>SKÅNE LÄN</t>
        </is>
      </c>
      <c r="G58" t="inlineStr">
        <is>
          <t>HÖRBY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44944</v>
      </c>
      <c r="E59" s="1" t="n">
        <v>46237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44928</v>
      </c>
      <c r="E60" s="1" t="n">
        <v>46237</v>
      </c>
      <c r="F60" t="inlineStr">
        <is>
          <t>SKÅNE LÄN</t>
        </is>
      </c>
      <c r="G60" t="inlineStr">
        <is>
          <t>HÖRBY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45363</v>
      </c>
      <c r="E61" s="1" t="n">
        <v>46237</v>
      </c>
      <c r="F61" t="inlineStr">
        <is>
          <t>SKÅNE LÄN</t>
        </is>
      </c>
      <c r="G61" t="inlineStr">
        <is>
          <t>HÖRBY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15970-2024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45405</v>
      </c>
      <c r="E62" s="1" t="n">
        <v>46237</v>
      </c>
      <c r="F62" t="inlineStr">
        <is>
          <t>SKÅNE LÄN</t>
        </is>
      </c>
      <c r="G62" t="inlineStr">
        <is>
          <t>HÖRBY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28785-2023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45104</v>
      </c>
      <c r="E63" s="1" t="n">
        <v>46237</v>
      </c>
      <c r="F63" t="inlineStr">
        <is>
          <t>SKÅNE LÄN</t>
        </is>
      </c>
      <c r="G63" t="inlineStr">
        <is>
          <t>HÖRBY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46237</v>
      </c>
      <c r="F64" t="inlineStr">
        <is>
          <t>SKÅNE LÄN</t>
        </is>
      </c>
      <c r="G64" t="inlineStr">
        <is>
          <t>HÖRBY</t>
        </is>
      </c>
      <c r="H64" t="inlineStr">
        <is>
          <t>Kyrkan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46237</v>
      </c>
      <c r="F65" t="inlineStr">
        <is>
          <t>SKÅNE LÄN</t>
        </is>
      </c>
      <c r="G65" t="inlineStr">
        <is>
          <t>HÖRBY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46237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48397-2022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46237</v>
      </c>
      <c r="F67" t="inlineStr">
        <is>
          <t>SKÅNE LÄN</t>
        </is>
      </c>
      <c r="G67" t="inlineStr">
        <is>
          <t>HÖRBY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46237</v>
      </c>
      <c r="F68" t="inlineStr">
        <is>
          <t>SKÅNE LÄN</t>
        </is>
      </c>
      <c r="G68" t="inlineStr">
        <is>
          <t>HÖRBY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46237</v>
      </c>
      <c r="F69" t="inlineStr">
        <is>
          <t>SKÅNE LÄN</t>
        </is>
      </c>
      <c r="G69" t="inlineStr">
        <is>
          <t>HÖRBY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43685-2022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44837</v>
      </c>
      <c r="E70" s="1" t="n">
        <v>46237</v>
      </c>
      <c r="F70" t="inlineStr">
        <is>
          <t>SKÅNE LÄN</t>
        </is>
      </c>
      <c r="G70" t="inlineStr">
        <is>
          <t>HÖRBY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46237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46237</v>
      </c>
      <c r="F72" t="inlineStr">
        <is>
          <t>SKÅNE LÄN</t>
        </is>
      </c>
      <c r="G72" t="inlineStr">
        <is>
          <t>HÖRBY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24724-2024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45460</v>
      </c>
      <c r="E73" s="1" t="n">
        <v>46237</v>
      </c>
      <c r="F73" t="inlineStr">
        <is>
          <t>SKÅNE LÄN</t>
        </is>
      </c>
      <c r="G73" t="inlineStr">
        <is>
          <t>HÖRBY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46237</v>
      </c>
      <c r="F74" t="inlineStr">
        <is>
          <t>SKÅNE LÄN</t>
        </is>
      </c>
      <c r="G74" t="inlineStr">
        <is>
          <t>HÖRBY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33359-2023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45128</v>
      </c>
      <c r="E75" s="1" t="n">
        <v>46237</v>
      </c>
      <c r="F75" t="inlineStr">
        <is>
          <t>SKÅNE LÄN</t>
        </is>
      </c>
      <c r="G75" t="inlineStr">
        <is>
          <t>HÖRBY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45572</v>
      </c>
      <c r="E76" s="1" t="n">
        <v>46237</v>
      </c>
      <c r="F76" t="inlineStr">
        <is>
          <t>SKÅNE LÄN</t>
        </is>
      </c>
      <c r="G76" t="inlineStr">
        <is>
          <t>HÖRBY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54894-2023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45236</v>
      </c>
      <c r="E77" s="1" t="n">
        <v>46237</v>
      </c>
      <c r="F77" t="inlineStr">
        <is>
          <t>SKÅNE LÄN</t>
        </is>
      </c>
      <c r="G77" t="inlineStr">
        <is>
          <t>HÖRBY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45287</v>
      </c>
      <c r="E78" s="1" t="n">
        <v>46237</v>
      </c>
      <c r="F78" t="inlineStr">
        <is>
          <t>SKÅNE LÄN</t>
        </is>
      </c>
      <c r="G78" t="inlineStr">
        <is>
          <t>HÖRBY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18609-2025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46237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46237</v>
      </c>
      <c r="F80" t="inlineStr">
        <is>
          <t>SKÅNE LÄN</t>
        </is>
      </c>
      <c r="G80" t="inlineStr">
        <is>
          <t>HÖRBY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45176</v>
      </c>
      <c r="E81" s="1" t="n">
        <v>46237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46237</v>
      </c>
      <c r="F82" t="inlineStr">
        <is>
          <t>SKÅNE LÄN</t>
        </is>
      </c>
      <c r="G82" t="inlineStr">
        <is>
          <t>HÖRBY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46237</v>
      </c>
      <c r="F83" t="inlineStr">
        <is>
          <t>SKÅNE LÄN</t>
        </is>
      </c>
      <c r="G83" t="inlineStr">
        <is>
          <t>HÖRBY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6558-2025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45699</v>
      </c>
      <c r="E84" s="1" t="n">
        <v>46237</v>
      </c>
      <c r="F84" t="inlineStr">
        <is>
          <t>SKÅNE LÄN</t>
        </is>
      </c>
      <c r="G84" t="inlineStr">
        <is>
          <t>HÖRBY</t>
        </is>
      </c>
      <c r="H84" t="inlineStr">
        <is>
          <t>Kommuner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58641-2023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45251</v>
      </c>
      <c r="E85" s="1" t="n">
        <v>46237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46237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45317</v>
      </c>
      <c r="E87" s="1" t="n">
        <v>46237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45300</v>
      </c>
      <c r="E88" s="1" t="n">
        <v>46237</v>
      </c>
      <c r="F88" t="inlineStr">
        <is>
          <t>SKÅNE LÄN</t>
        </is>
      </c>
      <c r="G88" t="inlineStr">
        <is>
          <t>HÖRBY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44944</v>
      </c>
      <c r="E89" s="1" t="n">
        <v>46237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46237</v>
      </c>
      <c r="F90" t="inlineStr">
        <is>
          <t>SKÅNE LÄN</t>
        </is>
      </c>
      <c r="G90" t="inlineStr">
        <is>
          <t>HÖRBY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46237</v>
      </c>
      <c r="F91" t="inlineStr">
        <is>
          <t>SKÅNE LÄN</t>
        </is>
      </c>
      <c r="G91" t="inlineStr">
        <is>
          <t>HÖRBY</t>
        </is>
      </c>
      <c r="I91" t="n">
        <v>18.7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55265-2023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45237</v>
      </c>
      <c r="E92" s="1" t="n">
        <v>46237</v>
      </c>
      <c r="F92" t="inlineStr">
        <is>
          <t>SKÅNE LÄN</t>
        </is>
      </c>
      <c r="G92" t="inlineStr">
        <is>
          <t>HÖRBY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45104</v>
      </c>
      <c r="E93" s="1" t="n">
        <v>46237</v>
      </c>
      <c r="F93" t="inlineStr">
        <is>
          <t>SKÅNE LÄN</t>
        </is>
      </c>
      <c r="G93" t="inlineStr">
        <is>
          <t>HÖRBY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44946</v>
      </c>
      <c r="E94" s="1" t="n">
        <v>46237</v>
      </c>
      <c r="F94" t="inlineStr">
        <is>
          <t>SKÅNE LÄN</t>
        </is>
      </c>
      <c r="G94" t="inlineStr">
        <is>
          <t>HÖRBY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46237</v>
      </c>
      <c r="F95" t="inlineStr">
        <is>
          <t>SKÅNE LÄN</t>
        </is>
      </c>
      <c r="G95" t="inlineStr">
        <is>
          <t>HÖRBY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46237</v>
      </c>
      <c r="F96" t="inlineStr">
        <is>
          <t>SKÅNE LÄN</t>
        </is>
      </c>
      <c r="G96" t="inlineStr">
        <is>
          <t>HÖRBY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51757-2025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45951</v>
      </c>
      <c r="E97" s="1" t="n">
        <v>46237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46237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45677</v>
      </c>
      <c r="E99" s="1" t="n">
        <v>46237</v>
      </c>
      <c r="F99" t="inlineStr">
        <is>
          <t>SKÅNE LÄN</t>
        </is>
      </c>
      <c r="G99" t="inlineStr">
        <is>
          <t>HÖRBY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46237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46237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46237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34422-2024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45525</v>
      </c>
      <c r="E103" s="1" t="n">
        <v>46237</v>
      </c>
      <c r="F103" t="inlineStr">
        <is>
          <t>SKÅNE LÄN</t>
        </is>
      </c>
      <c r="G103" t="inlineStr">
        <is>
          <t>HÖRBY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45728</v>
      </c>
      <c r="E104" s="1" t="n">
        <v>46237</v>
      </c>
      <c r="F104" t="inlineStr">
        <is>
          <t>SKÅNE LÄN</t>
        </is>
      </c>
      <c r="G104" t="inlineStr">
        <is>
          <t>HÖRBY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44613-2023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46237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43937-2023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46237</v>
      </c>
      <c r="F106" t="inlineStr">
        <is>
          <t>SKÅNE LÄN</t>
        </is>
      </c>
      <c r="G106" t="inlineStr">
        <is>
          <t>HÖRBY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46237</v>
      </c>
      <c r="F107" t="inlineStr">
        <is>
          <t>SKÅNE LÄN</t>
        </is>
      </c>
      <c r="G107" t="inlineStr">
        <is>
          <t>HÖRBY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54765-2025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45966</v>
      </c>
      <c r="E108" s="1" t="n">
        <v>46237</v>
      </c>
      <c r="F108" t="inlineStr">
        <is>
          <t>SKÅNE LÄN</t>
        </is>
      </c>
      <c r="G108" t="inlineStr">
        <is>
          <t>HÖRBY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67426-2021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46237</v>
      </c>
      <c r="F109" t="inlineStr">
        <is>
          <t>SKÅNE LÄN</t>
        </is>
      </c>
      <c r="G109" t="inlineStr">
        <is>
          <t>HÖRBY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46237</v>
      </c>
      <c r="F110" t="inlineStr">
        <is>
          <t>SKÅNE LÄN</t>
        </is>
      </c>
      <c r="G110" t="inlineStr">
        <is>
          <t>HÖRBY</t>
        </is>
      </c>
      <c r="H110" t="inlineStr">
        <is>
          <t>Kyrkan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46237</v>
      </c>
      <c r="F111" t="inlineStr">
        <is>
          <t>SKÅNE LÄN</t>
        </is>
      </c>
      <c r="G111" t="inlineStr">
        <is>
          <t>HÖRBY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29124-2026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46202</v>
      </c>
      <c r="E112" s="1" t="n">
        <v>46237</v>
      </c>
      <c r="F112" t="inlineStr">
        <is>
          <t>SKÅNE LÄN</t>
        </is>
      </c>
      <c r="G112" t="inlineStr">
        <is>
          <t>HÖRBY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29137-2026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46202</v>
      </c>
      <c r="E113" s="1" t="n">
        <v>46237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29138-2026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46202</v>
      </c>
      <c r="E114" s="1" t="n">
        <v>46237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45970</v>
      </c>
      <c r="E115" s="1" t="n">
        <v>46237</v>
      </c>
      <c r="F115" t="inlineStr">
        <is>
          <t>SKÅNE LÄN</t>
        </is>
      </c>
      <c r="G115" t="inlineStr">
        <is>
          <t>HÖRBY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55306-2025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45970</v>
      </c>
      <c r="E116" s="1" t="n">
        <v>46237</v>
      </c>
      <c r="F116" t="inlineStr">
        <is>
          <t>SKÅNE LÄN</t>
        </is>
      </c>
      <c r="G116" t="inlineStr">
        <is>
          <t>HÖRBY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46237</v>
      </c>
      <c r="F117" t="inlineStr">
        <is>
          <t>SKÅNE LÄN</t>
        </is>
      </c>
      <c r="G117" t="inlineStr">
        <is>
          <t>HÖRBY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29135-2026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46202</v>
      </c>
      <c r="E118" s="1" t="n">
        <v>46237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46237</v>
      </c>
      <c r="F119" t="inlineStr">
        <is>
          <t>SKÅNE LÄN</t>
        </is>
      </c>
      <c r="G119" t="inlineStr">
        <is>
          <t>HÖRBY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45043</v>
      </c>
      <c r="E120" s="1" t="n">
        <v>46237</v>
      </c>
      <c r="F120" t="inlineStr">
        <is>
          <t>SKÅNE LÄN</t>
        </is>
      </c>
      <c r="G120" t="inlineStr">
        <is>
          <t>HÖRBY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45979</v>
      </c>
      <c r="E121" s="1" t="n">
        <v>46237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45688</v>
      </c>
      <c r="E122" s="1" t="n">
        <v>46237</v>
      </c>
      <c r="F122" t="inlineStr">
        <is>
          <t>SKÅNE LÄN</t>
        </is>
      </c>
      <c r="G122" t="inlineStr">
        <is>
          <t>HÖRBY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45989</v>
      </c>
      <c r="E123" s="1" t="n">
        <v>46237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45128</v>
      </c>
      <c r="E124" s="1" t="n">
        <v>46237</v>
      </c>
      <c r="F124" t="inlineStr">
        <is>
          <t>SKÅNE LÄN</t>
        </is>
      </c>
      <c r="G124" t="inlineStr">
        <is>
          <t>HÖRBY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46237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46237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46237</v>
      </c>
      <c r="F127" t="inlineStr">
        <is>
          <t>SKÅNE LÄN</t>
        </is>
      </c>
      <c r="G127" t="inlineStr">
        <is>
          <t>HÖRBY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45551</v>
      </c>
      <c r="E128" s="1" t="n">
        <v>46237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44608</v>
      </c>
      <c r="E129" s="1" t="n">
        <v>46237</v>
      </c>
      <c r="F129" t="inlineStr">
        <is>
          <t>SKÅNE LÄN</t>
        </is>
      </c>
      <c r="G129" t="inlineStr">
        <is>
          <t>HÖRBY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62277-2025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46237</v>
      </c>
      <c r="F130" t="inlineStr">
        <is>
          <t>SKÅNE LÄN</t>
        </is>
      </c>
      <c r="G130" t="inlineStr">
        <is>
          <t>HÖRBY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46237</v>
      </c>
      <c r="F131" t="inlineStr">
        <is>
          <t>SKÅNE LÄN</t>
        </is>
      </c>
      <c r="G131" t="inlineStr">
        <is>
          <t>HÖRBY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44833</v>
      </c>
      <c r="E132" s="1" t="n">
        <v>46237</v>
      </c>
      <c r="F132" t="inlineStr">
        <is>
          <t>SKÅNE LÄN</t>
        </is>
      </c>
      <c r="G132" t="inlineStr">
        <is>
          <t>HÖRBY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46237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46237</v>
      </c>
      <c r="F134" t="inlineStr">
        <is>
          <t>SKÅNE LÄN</t>
        </is>
      </c>
      <c r="G134" t="inlineStr">
        <is>
          <t>HÖRBY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6350-2026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46237</v>
      </c>
      <c r="F135" t="inlineStr">
        <is>
          <t>SKÅNE LÄN</t>
        </is>
      </c>
      <c r="G135" t="inlineStr">
        <is>
          <t>HÖRBY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30934-2026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46213</v>
      </c>
      <c r="E136" s="1" t="n">
        <v>46237</v>
      </c>
      <c r="F136" t="inlineStr">
        <is>
          <t>SKÅNE LÄN</t>
        </is>
      </c>
      <c r="G136" t="inlineStr">
        <is>
          <t>HÖRBY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46237</v>
      </c>
      <c r="F137" t="inlineStr">
        <is>
          <t>SKÅNE LÄN</t>
        </is>
      </c>
      <c r="G137" t="inlineStr">
        <is>
          <t>HÖRBY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44693</v>
      </c>
      <c r="E138" s="1" t="n">
        <v>46237</v>
      </c>
      <c r="F138" t="inlineStr">
        <is>
          <t>SKÅNE LÄN</t>
        </is>
      </c>
      <c r="G138" t="inlineStr">
        <is>
          <t>HÖRBY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45762</v>
      </c>
      <c r="E139" s="1" t="n">
        <v>46237</v>
      </c>
      <c r="F139" t="inlineStr">
        <is>
          <t>SKÅNE LÄN</t>
        </is>
      </c>
      <c r="G139" t="inlineStr">
        <is>
          <t>HÖRBY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46237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46237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46218</v>
      </c>
      <c r="E142" s="1" t="n">
        <v>46237</v>
      </c>
      <c r="F142" t="inlineStr">
        <is>
          <t>SKÅNE LÄN</t>
        </is>
      </c>
      <c r="G142" t="inlineStr">
        <is>
          <t>HÖRBY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46237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46237</v>
      </c>
      <c r="F144" t="inlineStr">
        <is>
          <t>SKÅNE LÄN</t>
        </is>
      </c>
      <c r="G144" t="inlineStr">
        <is>
          <t>HÖRBY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45391</v>
      </c>
      <c r="E145" s="1" t="n">
        <v>46237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46237</v>
      </c>
      <c r="F146" t="inlineStr">
        <is>
          <t>SKÅNE LÄN</t>
        </is>
      </c>
      <c r="G146" t="inlineStr">
        <is>
          <t>HÖRBY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46237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46237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46041</v>
      </c>
      <c r="E149" s="1" t="n">
        <v>46237</v>
      </c>
      <c r="F149" t="inlineStr">
        <is>
          <t>SKÅNE LÄN</t>
        </is>
      </c>
      <c r="G149" t="inlineStr">
        <is>
          <t>HÖRBY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23606-2026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46162</v>
      </c>
      <c r="E150" s="1" t="n">
        <v>46237</v>
      </c>
      <c r="F150" t="inlineStr">
        <is>
          <t>SKÅNE LÄN</t>
        </is>
      </c>
      <c r="G150" t="inlineStr">
        <is>
          <t>HÖRBY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10524-2026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46076</v>
      </c>
      <c r="E151" s="1" t="n">
        <v>46237</v>
      </c>
      <c r="F151" t="inlineStr">
        <is>
          <t>SKÅNE LÄN</t>
        </is>
      </c>
      <c r="G151" t="inlineStr">
        <is>
          <t>HÖRBY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46237</v>
      </c>
      <c r="F152" t="inlineStr">
        <is>
          <t>SKÅNE LÄN</t>
        </is>
      </c>
      <c r="G152" t="inlineStr">
        <is>
          <t>HÖRBY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46050</v>
      </c>
      <c r="E153" s="1" t="n">
        <v>46237</v>
      </c>
      <c r="F153" t="inlineStr">
        <is>
          <t>SKÅNE LÄN</t>
        </is>
      </c>
      <c r="G153" t="inlineStr">
        <is>
          <t>HÖRBY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45034</v>
      </c>
      <c r="E154" s="1" t="n">
        <v>46237</v>
      </c>
      <c r="F154" t="inlineStr">
        <is>
          <t>SKÅNE LÄN</t>
        </is>
      </c>
      <c r="G154" t="inlineStr">
        <is>
          <t>HÖRBY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20047-2026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46237</v>
      </c>
      <c r="F155" t="inlineStr">
        <is>
          <t>SKÅNE LÄN</t>
        </is>
      </c>
      <c r="G155" t="inlineStr">
        <is>
          <t>HÖRBY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46237</v>
      </c>
      <c r="F156" t="inlineStr">
        <is>
          <t>SKÅNE LÄN</t>
        </is>
      </c>
      <c r="G156" t="inlineStr">
        <is>
          <t>HÖRBY</t>
        </is>
      </c>
      <c r="H156" t="inlineStr">
        <is>
          <t>Kyrkan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46237</v>
      </c>
      <c r="F157" t="inlineStr">
        <is>
          <t>SKÅNE LÄN</t>
        </is>
      </c>
      <c r="G157" t="inlineStr">
        <is>
          <t>HÖRBY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46112</v>
      </c>
      <c r="E158" s="1" t="n">
        <v>46237</v>
      </c>
      <c r="F158" t="inlineStr">
        <is>
          <t>SKÅNE LÄN</t>
        </is>
      </c>
      <c r="G158" t="inlineStr">
        <is>
          <t>HÖRBY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45970</v>
      </c>
      <c r="E159" s="1" t="n">
        <v>46237</v>
      </c>
      <c r="F159" t="inlineStr">
        <is>
          <t>SKÅNE LÄN</t>
        </is>
      </c>
      <c r="G159" t="inlineStr">
        <is>
          <t>HÖRBY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46064</v>
      </c>
      <c r="E160" s="1" t="n">
        <v>46237</v>
      </c>
      <c r="F160" t="inlineStr">
        <is>
          <t>SKÅNE LÄN</t>
        </is>
      </c>
      <c r="G160" t="inlineStr">
        <is>
          <t>HÖRBY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46237</v>
      </c>
      <c r="F161" t="inlineStr">
        <is>
          <t>SKÅNE LÄN</t>
        </is>
      </c>
      <c r="G161" t="inlineStr">
        <is>
          <t>HÖRBY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46237</v>
      </c>
      <c r="F162" t="inlineStr">
        <is>
          <t>SKÅNE LÄN</t>
        </is>
      </c>
      <c r="G162" t="inlineStr">
        <is>
          <t>HÖRBY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45978</v>
      </c>
      <c r="E163" s="1" t="n">
        <v>46237</v>
      </c>
      <c r="F163" t="inlineStr">
        <is>
          <t>SKÅNE LÄN</t>
        </is>
      </c>
      <c r="G163" t="inlineStr">
        <is>
          <t>HÖRBY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46237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45616</v>
      </c>
      <c r="E165" s="1" t="n">
        <v>46237</v>
      </c>
      <c r="F165" t="inlineStr">
        <is>
          <t>SKÅNE LÄN</t>
        </is>
      </c>
      <c r="G165" t="inlineStr">
        <is>
          <t>HÖRBY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46237</v>
      </c>
      <c r="F166" t="inlineStr">
        <is>
          <t>SKÅNE LÄN</t>
        </is>
      </c>
      <c r="G166" t="inlineStr">
        <is>
          <t>HÖRBY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46237</v>
      </c>
      <c r="F167" t="inlineStr">
        <is>
          <t>SKÅNE LÄN</t>
        </is>
      </c>
      <c r="G167" t="inlineStr">
        <is>
          <t>HÖRBY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46237</v>
      </c>
      <c r="F168" t="inlineStr">
        <is>
          <t>SKÅNE LÄN</t>
        </is>
      </c>
      <c r="G168" t="inlineStr">
        <is>
          <t>HÖRBY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46237</v>
      </c>
      <c r="F169" t="inlineStr">
        <is>
          <t>SKÅNE LÄN</t>
        </is>
      </c>
      <c r="G169" t="inlineStr">
        <is>
          <t>HÖRBY</t>
        </is>
      </c>
      <c r="H169" t="inlineStr">
        <is>
          <t>Kyrkan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46237</v>
      </c>
      <c r="F170" t="inlineStr">
        <is>
          <t>SKÅNE LÄN</t>
        </is>
      </c>
      <c r="G170" t="inlineStr">
        <is>
          <t>HÖRBY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45316</v>
      </c>
      <c r="E171" s="1" t="n">
        <v>46237</v>
      </c>
      <c r="F171" t="inlineStr">
        <is>
          <t>SKÅNE LÄN</t>
        </is>
      </c>
      <c r="G171" t="inlineStr">
        <is>
          <t>HÖRBY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45190</v>
      </c>
      <c r="E172" s="1" t="n">
        <v>46237</v>
      </c>
      <c r="F172" t="inlineStr">
        <is>
          <t>SKÅNE LÄN</t>
        </is>
      </c>
      <c r="G172" t="inlineStr">
        <is>
          <t>HÖRBY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45203</v>
      </c>
      <c r="E173" s="1" t="n">
        <v>46237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46237</v>
      </c>
      <c r="F174" t="inlineStr">
        <is>
          <t>SKÅNE LÄN</t>
        </is>
      </c>
      <c r="G174" t="inlineStr">
        <is>
          <t>HÖRBY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46237</v>
      </c>
      <c r="F175" t="inlineStr">
        <is>
          <t>SKÅNE LÄN</t>
        </is>
      </c>
      <c r="G175" t="inlineStr">
        <is>
          <t>HÖRBY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46237</v>
      </c>
      <c r="F176" t="inlineStr">
        <is>
          <t>SKÅNE LÄN</t>
        </is>
      </c>
      <c r="G176" t="inlineStr">
        <is>
          <t>HÖRBY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19777-2023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45051</v>
      </c>
      <c r="E177" s="1" t="n">
        <v>46237</v>
      </c>
      <c r="F177" t="inlineStr">
        <is>
          <t>SKÅNE LÄN</t>
        </is>
      </c>
      <c r="G177" t="inlineStr">
        <is>
          <t>HÖRBY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46237</v>
      </c>
      <c r="F178" t="inlineStr">
        <is>
          <t>SKÅNE LÄN</t>
        </is>
      </c>
      <c r="G178" t="inlineStr">
        <is>
          <t>HÖRBY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45680</v>
      </c>
      <c r="E179" s="1" t="n">
        <v>46237</v>
      </c>
      <c r="F179" t="inlineStr">
        <is>
          <t>SKÅNE LÄN</t>
        </is>
      </c>
      <c r="G179" t="inlineStr">
        <is>
          <t>HÖRBY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46237</v>
      </c>
      <c r="F180" t="inlineStr">
        <is>
          <t>SKÅNE LÄN</t>
        </is>
      </c>
      <c r="G180" t="inlineStr">
        <is>
          <t>HÖRBY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46237</v>
      </c>
      <c r="F181" t="inlineStr">
        <is>
          <t>SKÅNE LÄN</t>
        </is>
      </c>
      <c r="G181" t="inlineStr">
        <is>
          <t>HÖRBY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45521</v>
      </c>
      <c r="E182" s="1" t="n">
        <v>46237</v>
      </c>
      <c r="F182" t="inlineStr">
        <is>
          <t>SKÅNE LÄN</t>
        </is>
      </c>
      <c r="G182" t="inlineStr">
        <is>
          <t>HÖRBY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46099</v>
      </c>
      <c r="E183" s="1" t="n">
        <v>46237</v>
      </c>
      <c r="F183" t="inlineStr">
        <is>
          <t>SKÅNE LÄN</t>
        </is>
      </c>
      <c r="G183" t="inlineStr">
        <is>
          <t>HÖRBY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46237</v>
      </c>
      <c r="F184" t="inlineStr">
        <is>
          <t>SKÅNE LÄN</t>
        </is>
      </c>
      <c r="G184" t="inlineStr">
        <is>
          <t>HÖRBY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46237</v>
      </c>
      <c r="F185" t="inlineStr">
        <is>
          <t>SKÅNE LÄN</t>
        </is>
      </c>
      <c r="G185" t="inlineStr">
        <is>
          <t>HÖRBY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46237</v>
      </c>
      <c r="F186" t="inlineStr">
        <is>
          <t>SKÅNE LÄN</t>
        </is>
      </c>
      <c r="G186" t="inlineStr">
        <is>
          <t>HÖRBY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46237</v>
      </c>
      <c r="F187" t="inlineStr">
        <is>
          <t>SKÅNE LÄN</t>
        </is>
      </c>
      <c r="G187" t="inlineStr">
        <is>
          <t>HÖRBY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45250</v>
      </c>
      <c r="E188" s="1" t="n">
        <v>46237</v>
      </c>
      <c r="F188" t="inlineStr">
        <is>
          <t>SKÅNE LÄN</t>
        </is>
      </c>
      <c r="G188" t="inlineStr">
        <is>
          <t>HÖRBY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46237</v>
      </c>
      <c r="F189" t="inlineStr">
        <is>
          <t>SKÅNE LÄN</t>
        </is>
      </c>
      <c r="G189" t="inlineStr">
        <is>
          <t>HÖRBY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46237</v>
      </c>
      <c r="F190" t="inlineStr">
        <is>
          <t>SKÅNE LÄN</t>
        </is>
      </c>
      <c r="G190" t="inlineStr">
        <is>
          <t>HÖRBY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45680</v>
      </c>
      <c r="E191" s="1" t="n">
        <v>46237</v>
      </c>
      <c r="F191" t="inlineStr">
        <is>
          <t>SKÅNE LÄN</t>
        </is>
      </c>
      <c r="G191" t="inlineStr">
        <is>
          <t>HÖRBY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45203</v>
      </c>
      <c r="E192" s="1" t="n">
        <v>46237</v>
      </c>
      <c r="F192" t="inlineStr">
        <is>
          <t>SKÅNE LÄN</t>
        </is>
      </c>
      <c r="G192" t="inlineStr">
        <is>
          <t>HÖRBY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45224</v>
      </c>
      <c r="E193" s="1" t="n">
        <v>46237</v>
      </c>
      <c r="F193" t="inlineStr">
        <is>
          <t>SKÅNE LÄN</t>
        </is>
      </c>
      <c r="G193" t="inlineStr">
        <is>
          <t>HÖRBY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46059</v>
      </c>
      <c r="E194" s="1" t="n">
        <v>46237</v>
      </c>
      <c r="F194" t="inlineStr">
        <is>
          <t>SKÅNE LÄN</t>
        </is>
      </c>
      <c r="G194" t="inlineStr">
        <is>
          <t>HÖRBY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45673</v>
      </c>
      <c r="E195" s="1" t="n">
        <v>46237</v>
      </c>
      <c r="F195" t="inlineStr">
        <is>
          <t>SKÅNE LÄN</t>
        </is>
      </c>
      <c r="G195" t="inlineStr">
        <is>
          <t>HÖRBY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24670-2024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45460</v>
      </c>
      <c r="E196" s="1" t="n">
        <v>46237</v>
      </c>
      <c r="F196" t="inlineStr">
        <is>
          <t>SKÅNE LÄN</t>
        </is>
      </c>
      <c r="G196" t="inlineStr">
        <is>
          <t>HÖRBY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44959</v>
      </c>
      <c r="E197" s="1" t="n">
        <v>46237</v>
      </c>
      <c r="F197" t="inlineStr">
        <is>
          <t>SKÅNE LÄN</t>
        </is>
      </c>
      <c r="G197" t="inlineStr">
        <is>
          <t>HÖRBY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46237</v>
      </c>
      <c r="F198" t="inlineStr">
        <is>
          <t>SKÅNE LÄN</t>
        </is>
      </c>
      <c r="G198" t="inlineStr">
        <is>
          <t>HÖRBY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45502</v>
      </c>
      <c r="E199" s="1" t="n">
        <v>46237</v>
      </c>
      <c r="F199" t="inlineStr">
        <is>
          <t>SKÅNE LÄN</t>
        </is>
      </c>
      <c r="G199" t="inlineStr">
        <is>
          <t>HÖRBY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45728</v>
      </c>
      <c r="E200" s="1" t="n">
        <v>46237</v>
      </c>
      <c r="F200" t="inlineStr">
        <is>
          <t>SKÅNE LÄN</t>
        </is>
      </c>
      <c r="G200" t="inlineStr">
        <is>
          <t>HÖRBY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44814</v>
      </c>
      <c r="E201" s="1" t="n">
        <v>46237</v>
      </c>
      <c r="F201" t="inlineStr">
        <is>
          <t>SKÅNE LÄN</t>
        </is>
      </c>
      <c r="G201" t="inlineStr">
        <is>
          <t>HÖRBY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46237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46237</v>
      </c>
      <c r="F203" t="inlineStr">
        <is>
          <t>SKÅNE LÄN</t>
        </is>
      </c>
      <c r="G203" t="inlineStr">
        <is>
          <t>HÖRBY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45079</v>
      </c>
      <c r="E204" s="1" t="n">
        <v>46237</v>
      </c>
      <c r="F204" t="inlineStr">
        <is>
          <t>SKÅNE LÄN</t>
        </is>
      </c>
      <c r="G204" t="inlineStr">
        <is>
          <t>HÖRBY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43711-2024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45569</v>
      </c>
      <c r="E205" s="1" t="n">
        <v>46237</v>
      </c>
      <c r="F205" t="inlineStr">
        <is>
          <t>SKÅNE LÄN</t>
        </is>
      </c>
      <c r="G205" t="inlineStr">
        <is>
          <t>HÖRBY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45792</v>
      </c>
      <c r="E206" s="1" t="n">
        <v>46237</v>
      </c>
      <c r="F206" t="inlineStr">
        <is>
          <t>SKÅNE LÄN</t>
        </is>
      </c>
      <c r="G206" t="inlineStr">
        <is>
          <t>HÖRBY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45818</v>
      </c>
      <c r="E207" s="1" t="n">
        <v>46237</v>
      </c>
      <c r="F207" t="inlineStr">
        <is>
          <t>SKÅNE LÄN</t>
        </is>
      </c>
      <c r="G207" t="inlineStr">
        <is>
          <t>HÖRBY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9612-2025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46237</v>
      </c>
      <c r="F208" t="inlineStr">
        <is>
          <t>SKÅNE LÄN</t>
        </is>
      </c>
      <c r="G208" t="inlineStr">
        <is>
          <t>HÖRBY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46237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46237</v>
      </c>
      <c r="F210" t="inlineStr">
        <is>
          <t>SKÅNE LÄN</t>
        </is>
      </c>
      <c r="G210" t="inlineStr">
        <is>
          <t>HÖRBY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46237</v>
      </c>
      <c r="F211" t="inlineStr">
        <is>
          <t>SKÅNE LÄN</t>
        </is>
      </c>
      <c r="G211" t="inlineStr">
        <is>
          <t>HÖRBY</t>
        </is>
      </c>
      <c r="H211" t="inlineStr">
        <is>
          <t>Kyrkan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46237</v>
      </c>
      <c r="F212" t="inlineStr">
        <is>
          <t>SKÅNE LÄN</t>
        </is>
      </c>
      <c r="G212" t="inlineStr">
        <is>
          <t>HÖRBY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32958-2025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46237</v>
      </c>
      <c r="F213" t="inlineStr">
        <is>
          <t>SKÅNE LÄN</t>
        </is>
      </c>
      <c r="G213" t="inlineStr">
        <is>
          <t>HÖRBY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46237</v>
      </c>
      <c r="F214" t="inlineStr">
        <is>
          <t>SKÅNE LÄN</t>
        </is>
      </c>
      <c r="G214" t="inlineStr">
        <is>
          <t>HÖRBY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45868</v>
      </c>
      <c r="E215" s="1" t="n">
        <v>46237</v>
      </c>
      <c r="F215" t="inlineStr">
        <is>
          <t>SKÅNE LÄN</t>
        </is>
      </c>
      <c r="G215" t="inlineStr">
        <is>
          <t>HÖRBY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45868</v>
      </c>
      <c r="E216" s="1" t="n">
        <v>46237</v>
      </c>
      <c r="F216" t="inlineStr">
        <is>
          <t>SKÅNE LÄN</t>
        </is>
      </c>
      <c r="G216" t="inlineStr">
        <is>
          <t>HÖRBY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46237</v>
      </c>
      <c r="F217" t="inlineStr">
        <is>
          <t>SKÅNE LÄN</t>
        </is>
      </c>
      <c r="G217" t="inlineStr">
        <is>
          <t>HÖRBY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46237</v>
      </c>
      <c r="F218" t="inlineStr">
        <is>
          <t>SKÅNE LÄN</t>
        </is>
      </c>
      <c r="G218" t="inlineStr">
        <is>
          <t>HÖRBY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46237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46237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46237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46237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46237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46237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46237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46237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2026-08-03T01:56:18Z</dcterms:created>
  <dcterms:modified xmlns:dcterms="http://purl.org/dc/terms/" xmlns:xsi="http://www.w3.org/2001/XMLSchema-instance" xsi:type="dcterms:W3CDTF">2026-08-03T01:56:18Z</dcterms:modified>
</cp:coreProperties>
</file>