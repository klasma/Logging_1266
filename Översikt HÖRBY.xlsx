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46223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s="2" t="inlineStr">
        <is>
          <t>Bokkantlav
Bokvårtlav
Lunglav
Bokfjädermossa
Guldlockmossa
Havstulpanlav
Klippfrullania
Kransrams
Lönnlav
Trädporella
Västlig hakmossa</t>
        </is>
      </c>
      <c r="V2">
        <f>HYPERLINK("https://klasma.github.io/Logging_1266/artfynd/A 6056-2023 artfynd.xlsx", "A 6056-2023")</f>
        <v/>
      </c>
      <c r="W2">
        <f>HYPERLINK("https://klasma.github.io/Logging_1266/kartor/A 6056-2023 karta.png", "A 6056-2023")</f>
        <v/>
      </c>
      <c r="X2">
        <f>HYPERLINK("https://klasma.github.io/Logging_1266/kartor_geotiff/A 6056-2023 georefererad karta.tif", "A 6056-2023")</f>
        <v/>
      </c>
      <c r="Z2">
        <f>HYPERLINK("https://klasma.github.io/Logging_1266/klagomål/A 6056-2023 FSC-klagomål.docx", "A 6056-2023")</f>
        <v/>
      </c>
      <c r="AA2">
        <f>HYPERLINK("https://klasma.github.io/Logging_1266/klagomålsmail/A 6056-2023 FSC-klagomål mail.docx", "A 6056-2023")</f>
        <v/>
      </c>
      <c r="AB2">
        <f>HYPERLINK("https://klasma.github.io/Logging_1266/tillsyn/A 6056-2023 tillsynsbegäran.docx", "A 6056-2023")</f>
        <v/>
      </c>
      <c r="AC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46223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s="2" t="inlineStr">
        <is>
          <t>Ask
Skogsalm
Atheta fungivora
Dvärgbägarlav
Grönsångare
Svart skogssnigel
Sårläka
Liten stinksvamp
Skogsbräsma
Västlig hakmossa
Kopparödla</t>
        </is>
      </c>
      <c r="V3">
        <f>HYPERLINK("https://klasma.github.io/Logging_1266/artfynd/S 534-2023 artfynd.xlsx", "S 534-2023")</f>
        <v/>
      </c>
      <c r="W3">
        <f>HYPERLINK("https://klasma.github.io/Logging_1266/kartor/S 534-2023 karta.png", "S 534-2023")</f>
        <v/>
      </c>
      <c r="X3">
        <f>HYPERLINK("https://klasma.github.io/Logging_1266/kartor_geotiff/S 534-2023 georefererad karta.tif", "S 534-2023")</f>
        <v/>
      </c>
      <c r="Z3">
        <f>HYPERLINK("https://klasma.github.io/Logging_1266/klagomål/S 534-2023 FSC-klagomål.docx", "S 534-2023")</f>
        <v/>
      </c>
      <c r="AA3">
        <f>HYPERLINK("https://klasma.github.io/Logging_1266/klagomålsmail/S 534-2023 FSC-klagomål mail.docx", "S 534-2023")</f>
        <v/>
      </c>
      <c r="AB3">
        <f>HYPERLINK("https://klasma.github.io/Logging_1266/tillsyn/S 534-2023 tillsynsbegäran.docx", "S 534-2023")</f>
        <v/>
      </c>
      <c r="AC3">
        <f>HYPERLINK("https://klasma.github.io/Logging_1266/tillsynsmail/S 534-2023 tillsynsbegäran mail.docx", "S 534-2023")</f>
        <v/>
      </c>
      <c r="AD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46223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s="2" t="inlineStr">
        <is>
          <t>Sydpipistrell
Dammfladdermus
Nordfladdermus
Sydfladdermus
Dvärgpipistrell
Gråskimlig fladdermus
Mindre brunfladdermus
Större brunfladdermus
Trollpipistrell
Vattenfladdermus</t>
        </is>
      </c>
      <c r="V4">
        <f>HYPERLINK("https://klasma.github.io/Logging_1266/artfynd/A 24647-2022 artfynd.xlsx", "A 24647-2022")</f>
        <v/>
      </c>
      <c r="W4">
        <f>HYPERLINK("https://klasma.github.io/Logging_1266/kartor/A 24647-2022 karta.png", "A 24647-2022")</f>
        <v/>
      </c>
      <c r="X4">
        <f>HYPERLINK("https://klasma.github.io/Logging_1266/kartor_geotiff/A 24647-2022 georefererad karta.tif", "A 24647-2022")</f>
        <v/>
      </c>
      <c r="Z4">
        <f>HYPERLINK("https://klasma.github.io/Logging_1266/klagomål/A 24647-2022 FSC-klagomål.docx", "A 24647-2022")</f>
        <v/>
      </c>
      <c r="AA4">
        <f>HYPERLINK("https://klasma.github.io/Logging_1266/klagomålsmail/A 24647-2022 FSC-klagomål mail.docx", "A 24647-2022")</f>
        <v/>
      </c>
      <c r="AB4">
        <f>HYPERLINK("https://klasma.github.io/Logging_1266/tillsyn/A 24647-2022 tillsynsbegäran.docx", "A 24647-2022")</f>
        <v/>
      </c>
      <c r="AC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46223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s="2" t="inlineStr">
        <is>
          <t>Borsttåg
Mörk dunört
Blåbär
Skogsstjärna
Stjärnstarr
Sälg
Ängskovall
Kopparödla
Skogsödla</t>
        </is>
      </c>
      <c r="V5">
        <f>HYPERLINK("https://klasma.github.io/Logging_1266/artfynd/S 4921-2021 artfynd.xlsx", "S 4921-2021")</f>
        <v/>
      </c>
      <c r="W5">
        <f>HYPERLINK("https://klasma.github.io/Logging_1266/kartor/S 4921-2021 karta.png", "S 4921-2021")</f>
        <v/>
      </c>
      <c r="X5">
        <f>HYPERLINK("https://klasma.github.io/Logging_1266/kartor_geotiff/S 4921-2021 georefererad karta.tif", "S 4921-2021")</f>
        <v/>
      </c>
      <c r="Z5">
        <f>HYPERLINK("https://klasma.github.io/Logging_1266/klagomål/S 4921-2021 FSC-klagomål.docx", "S 4921-2021")</f>
        <v/>
      </c>
      <c r="AA5">
        <f>HYPERLINK("https://klasma.github.io/Logging_1266/klagomålsmail/S 4921-2021 FSC-klagomål mail.docx", "S 4921-2021")</f>
        <v/>
      </c>
      <c r="AB5">
        <f>HYPERLINK("https://klasma.github.io/Logging_1266/tillsyn/S 4921-2021 tillsynsbegäran.docx", "S 4921-2021")</f>
        <v/>
      </c>
      <c r="AC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46223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s="2" t="inlineStr">
        <is>
          <t>Borsttåg
Mörk dunört
Blåbär
Skogsstjärna
Stjärnstarr
Sälg
Ängskovall
Kopparödla</t>
        </is>
      </c>
      <c r="V6">
        <f>HYPERLINK("https://klasma.github.io/Logging_1266/artfynd/S 1478-2025 artfynd.xlsx", "S 1478-2025")</f>
        <v/>
      </c>
      <c r="W6">
        <f>HYPERLINK("https://klasma.github.io/Logging_1266/kartor/S 1478-2025 karta.png", "S 1478-2025")</f>
        <v/>
      </c>
      <c r="X6">
        <f>HYPERLINK("https://klasma.github.io/Logging_1266/kartor_geotiff/S 1478-2025 georefererad karta.tif", "S 1478-2025")</f>
        <v/>
      </c>
      <c r="Z6">
        <f>HYPERLINK("https://klasma.github.io/Logging_1266/klagomål/S 1478-2025 FSC-klagomål.docx", "S 1478-2025")</f>
        <v/>
      </c>
      <c r="AA6">
        <f>HYPERLINK("https://klasma.github.io/Logging_1266/klagomålsmail/S 1478-2025 FSC-klagomål mail.docx", "S 1478-2025")</f>
        <v/>
      </c>
      <c r="AB6">
        <f>HYPERLINK("https://klasma.github.io/Logging_1266/tillsyn/S 1478-2025 tillsynsbegäran.docx", "S 1478-2025")</f>
        <v/>
      </c>
      <c r="AC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46223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s="2" t="inlineStr">
        <is>
          <t>Grönsångare
Gulsparv
Mindre hackspett
Gulplister
Liljekonvalj
Spillkråka
Kråka
Svartvit flugsnappare</t>
        </is>
      </c>
      <c r="V7">
        <f>HYPERLINK("https://klasma.github.io/Logging_1266/artfynd/S 1447-2026 artfynd.xlsx", "S 1447-2026")</f>
        <v/>
      </c>
      <c r="W7">
        <f>HYPERLINK("https://klasma.github.io/Logging_1266/kartor/S 1447-2026 karta.png", "S 1447-2026")</f>
        <v/>
      </c>
      <c r="X7">
        <f>HYPERLINK("https://klasma.github.io/Logging_1266/kartor_geotiff/S 1447-2026 georefererad karta.tif", "S 1447-2026")</f>
        <v/>
      </c>
      <c r="Z7">
        <f>HYPERLINK("https://klasma.github.io/Logging_1266/klagomål/S 1447-2026 FSC-klagomål.docx", "S 1447-2026")</f>
        <v/>
      </c>
      <c r="AA7">
        <f>HYPERLINK("https://klasma.github.io/Logging_1266/klagomålsmail/S 1447-2026 FSC-klagomål mail.docx", "S 1447-2026")</f>
        <v/>
      </c>
      <c r="AB7">
        <f>HYPERLINK("https://klasma.github.io/Logging_1266/tillsyn/S 1447-2026 tillsynsbegäran.docx", "S 1447-2026")</f>
        <v/>
      </c>
      <c r="AC7">
        <f>HYPERLINK("https://klasma.github.io/Logging_1266/tillsynsmail/S 1447-2026 tillsynsbegäran mail.docx", "S 1447-2026")</f>
        <v/>
      </c>
      <c r="AD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46223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s="2" t="inlineStr">
        <is>
          <t>Mindre hackspett
Scharlakansskål
Spillkråka
Kråka
Näktergal
Skogsödla
Grönvit nattviol</t>
        </is>
      </c>
      <c r="V8">
        <f>HYPERLINK("https://klasma.github.io/Logging_1266/artfynd/A 56742-2023 artfynd.xlsx", "A 56742-2023")</f>
        <v/>
      </c>
      <c r="W8">
        <f>HYPERLINK("https://klasma.github.io/Logging_1266/kartor/A 56742-2023 karta.png", "A 56742-2023")</f>
        <v/>
      </c>
      <c r="X8">
        <f>HYPERLINK("https://klasma.github.io/Logging_1266/kartor_geotiff/A 56742-2023 georefererad karta.tif", "A 56742-2023")</f>
        <v/>
      </c>
      <c r="Z8">
        <f>HYPERLINK("https://klasma.github.io/Logging_1266/klagomål/A 56742-2023 FSC-klagomål.docx", "A 56742-2023")</f>
        <v/>
      </c>
      <c r="AA8">
        <f>HYPERLINK("https://klasma.github.io/Logging_1266/klagomålsmail/A 56742-2023 FSC-klagomål mail.docx", "A 56742-2023")</f>
        <v/>
      </c>
      <c r="AB8">
        <f>HYPERLINK("https://klasma.github.io/Logging_1266/tillsyn/A 56742-2023 tillsynsbegäran.docx", "A 56742-2023")</f>
        <v/>
      </c>
      <c r="AC8">
        <f>HYPERLINK("https://klasma.github.io/Logging_1266/tillsynsmail/A 56742-2023 tillsynsbegäran mail.docx", "A 56742-2023")</f>
        <v/>
      </c>
      <c r="AD8">
        <f>HYPERLINK("https://klasma.github.io/Logging_1266/fåglar/A 56742-2023 prioriterade fågelarter.docx", "A 56742-2023")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46223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s="2" t="inlineStr">
        <is>
          <t>Duvhök
Grönsångare
Sädesärla
Fjällvråk
Kungsfågel</t>
        </is>
      </c>
      <c r="V9">
        <f>HYPERLINK("https://klasma.github.io/Logging_1266/artfynd/A 31351-2022 artfynd.xlsx", "A 31351-2022")</f>
        <v/>
      </c>
      <c r="W9">
        <f>HYPERLINK("https://klasma.github.io/Logging_1266/kartor/A 31351-2022 karta.png", "A 31351-2022")</f>
        <v/>
      </c>
      <c r="X9">
        <f>HYPERLINK("https://klasma.github.io/Logging_1266/kartor_geotiff/A 31351-2022 georefererad karta.tif", "A 31351-2022")</f>
        <v/>
      </c>
      <c r="Z9">
        <f>HYPERLINK("https://klasma.github.io/Logging_1266/klagomål/A 31351-2022 FSC-klagomål.docx", "A 31351-2022")</f>
        <v/>
      </c>
      <c r="AA9">
        <f>HYPERLINK("https://klasma.github.io/Logging_1266/klagomålsmail/A 31351-2022 FSC-klagomål mail.docx", "A 31351-2022")</f>
        <v/>
      </c>
      <c r="AB9">
        <f>HYPERLINK("https://klasma.github.io/Logging_1266/tillsyn/A 31351-2022 tillsynsbegäran.docx", "A 31351-2022")</f>
        <v/>
      </c>
      <c r="AC9">
        <f>HYPERLINK("https://klasma.github.io/Logging_1266/tillsynsmail/A 31351-2022 tillsynsbegäran mail.docx", "A 31351-2022")</f>
        <v/>
      </c>
      <c r="AD9">
        <f>HYPERLINK("https://klasma.github.io/Logging_1266/fåglar/A 31351-2022 prioriterade fågelarter.docx", "A 31351-2022")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46223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s="2" t="inlineStr">
        <is>
          <t>Naverlönn
Ask
Skogsalm
Scharlakansskål
Stor häxört</t>
        </is>
      </c>
      <c r="V10">
        <f>HYPERLINK("https://klasma.github.io/Logging_1266/artfynd/A 20194-2024 artfynd.xlsx", "A 20194-2024")</f>
        <v/>
      </c>
      <c r="W10">
        <f>HYPERLINK("https://klasma.github.io/Logging_1266/kartor/A 20194-2024 karta.png", "A 20194-2024")</f>
        <v/>
      </c>
      <c r="X10">
        <f>HYPERLINK("https://klasma.github.io/Logging_1266/kartor_geotiff/A 20194-2024 georefererad karta.tif", "A 20194-2024")</f>
        <v/>
      </c>
      <c r="Z10">
        <f>HYPERLINK("https://klasma.github.io/Logging_1266/klagomål/A 20194-2024 FSC-klagomål.docx", "A 20194-2024")</f>
        <v/>
      </c>
      <c r="AA10">
        <f>HYPERLINK("https://klasma.github.io/Logging_1266/klagomålsmail/A 20194-2024 FSC-klagomål mail.docx", "A 20194-2024")</f>
        <v/>
      </c>
      <c r="AB10">
        <f>HYPERLINK("https://klasma.github.io/Logging_1266/tillsyn/A 20194-2024 tillsynsbegäran.docx", "A 20194-2024")</f>
        <v/>
      </c>
      <c r="AC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46223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s="2" t="inlineStr">
        <is>
          <t>Ask
Skogsknipprot
Blåsippa
Fläcknycklar
Grönvit nattviol</t>
        </is>
      </c>
      <c r="V11">
        <f>HYPERLINK("https://klasma.github.io/Logging_1266/artfynd/A 39855-2022 artfynd.xlsx", "A 39855-2022")</f>
        <v/>
      </c>
      <c r="W11">
        <f>HYPERLINK("https://klasma.github.io/Logging_1266/kartor/A 39855-2022 karta.png", "A 39855-2022")</f>
        <v/>
      </c>
      <c r="X11">
        <f>HYPERLINK("https://klasma.github.io/Logging_1266/kartor_geotiff/A 39855-2022 georefererad karta.tif", "A 39855-2022")</f>
        <v/>
      </c>
      <c r="Z11">
        <f>HYPERLINK("https://klasma.github.io/Logging_1266/klagomål/A 39855-2022 FSC-klagomål.docx", "A 39855-2022")</f>
        <v/>
      </c>
      <c r="AA11">
        <f>HYPERLINK("https://klasma.github.io/Logging_1266/klagomålsmail/A 39855-2022 FSC-klagomål mail.docx", "A 39855-2022")</f>
        <v/>
      </c>
      <c r="AB11">
        <f>HYPERLINK("https://klasma.github.io/Logging_1266/tillsyn/A 39855-2022 tillsynsbegäran.docx", "A 39855-2022")</f>
        <v/>
      </c>
      <c r="AC11">
        <f>HYPERLINK("https://klasma.github.io/Logging_1266/tillsynsmail/A 39855-2022 tillsynsbegäran mail.docx", "A 39855-2022")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46223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s="2" t="inlineStr">
        <is>
          <t>Slåttergubbe
Sydlig sotticka
Älg
Fiskgjuse
Större brunfladdermus</t>
        </is>
      </c>
      <c r="V12">
        <f>HYPERLINK("https://klasma.github.io/Logging_1266/artfynd/A 16520-2026 artfynd.xlsx", "A 16520-2026")</f>
        <v/>
      </c>
      <c r="W12">
        <f>HYPERLINK("https://klasma.github.io/Logging_1266/kartor/A 16520-2026 karta.png", "A 16520-2026")</f>
        <v/>
      </c>
      <c r="X12">
        <f>HYPERLINK("https://klasma.github.io/Logging_1266/kartor_geotiff/A 16520-2026 georefererad karta.tif", "A 16520-2026")</f>
        <v/>
      </c>
      <c r="Z12">
        <f>HYPERLINK("https://klasma.github.io/Logging_1266/klagomål/A 16520-2026 FSC-klagomål.docx", "A 16520-2026")</f>
        <v/>
      </c>
      <c r="AA12">
        <f>HYPERLINK("https://klasma.github.io/Logging_1266/klagomålsmail/A 16520-2026 FSC-klagomål mail.docx", "A 16520-2026")</f>
        <v/>
      </c>
      <c r="AB12">
        <f>HYPERLINK("https://klasma.github.io/Logging_1266/tillsyn/A 16520-2026 tillsynsbegäran.docx", "A 16520-2026")</f>
        <v/>
      </c>
      <c r="AC12">
        <f>HYPERLINK("https://klasma.github.io/Logging_1266/tillsynsmail/A 16520-2026 tillsynsbegäran mail.docx", "A 16520-2026")</f>
        <v/>
      </c>
      <c r="AD12">
        <f>HYPERLINK("https://klasma.github.io/Logging_1266/fåglar/A 16520-2026 prioriterade fågelarter.docx", "A 16520-2026")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46223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s="2" t="inlineStr">
        <is>
          <t>Violettkantad guldvinge
Granspira
Sotnätfjäril
Svinrot</t>
        </is>
      </c>
      <c r="V13">
        <f>HYPERLINK("https://klasma.github.io/Logging_1266/artfynd/A 21774-2026 artfynd.xlsx", "A 21774-2026")</f>
        <v/>
      </c>
      <c r="W13">
        <f>HYPERLINK("https://klasma.github.io/Logging_1266/kartor/A 21774-2026 karta.png", "A 21774-2026")</f>
        <v/>
      </c>
      <c r="X13">
        <f>HYPERLINK("https://klasma.github.io/Logging_1266/kartor_geotiff/A 21774-2026 georefererad karta.tif", "A 21774-2026")</f>
        <v/>
      </c>
      <c r="Z13">
        <f>HYPERLINK("https://klasma.github.io/Logging_1266/klagomål/A 21774-2026 FSC-klagomål.docx", "A 21774-2026")</f>
        <v/>
      </c>
      <c r="AA13">
        <f>HYPERLINK("https://klasma.github.io/Logging_1266/klagomålsmail/A 21774-2026 FSC-klagomål mail.docx", "A 21774-2026")</f>
        <v/>
      </c>
      <c r="AB13">
        <f>HYPERLINK("https://klasma.github.io/Logging_1266/tillsyn/A 21774-2026 tillsynsbegäran.docx", "A 21774-2026")</f>
        <v/>
      </c>
      <c r="AC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46223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s="2" t="inlineStr">
        <is>
          <t>Myskmadra
Skogsbräsma
Tandrot
Grönsiska</t>
        </is>
      </c>
      <c r="V14">
        <f>HYPERLINK("https://klasma.github.io/Logging_1266/artfynd/A 38084-2024 artfynd.xlsx", "A 38084-2024")</f>
        <v/>
      </c>
      <c r="W14">
        <f>HYPERLINK("https://klasma.github.io/Logging_1266/kartor/A 38084-2024 karta.png", "A 38084-2024")</f>
        <v/>
      </c>
      <c r="X14">
        <f>HYPERLINK("https://klasma.github.io/Logging_1266/kartor_geotiff/A 38084-2024 georefererad karta.tif", "A 38084-2024")</f>
        <v/>
      </c>
      <c r="Z14">
        <f>HYPERLINK("https://klasma.github.io/Logging_1266/klagomål/A 38084-2024 FSC-klagomål.docx", "A 38084-2024")</f>
        <v/>
      </c>
      <c r="AA14">
        <f>HYPERLINK("https://klasma.github.io/Logging_1266/klagomålsmail/A 38084-2024 FSC-klagomål mail.docx", "A 38084-2024")</f>
        <v/>
      </c>
      <c r="AB14">
        <f>HYPERLINK("https://klasma.github.io/Logging_1266/tillsyn/A 38084-2024 tillsynsbegäran.docx", "A 38084-2024")</f>
        <v/>
      </c>
      <c r="AC14">
        <f>HYPERLINK("https://klasma.github.io/Logging_1266/tillsynsmail/A 38084-2024 tillsynsbegäran mail.docx", "A 38084-2024")</f>
        <v/>
      </c>
    </row>
    <row r="15" ht="15" customHeight="1">
      <c r="A15" t="inlineStr">
        <is>
          <t>A 5619-2024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45334</v>
      </c>
      <c r="E15" s="1" t="n">
        <v>46223</v>
      </c>
      <c r="F15" t="inlineStr">
        <is>
          <t>SKÅNE LÄN</t>
        </is>
      </c>
      <c r="G15" t="inlineStr">
        <is>
          <t>HÖRBY</t>
        </is>
      </c>
      <c r="I15" t="n">
        <v>4.6</v>
      </c>
      <c r="J15" t="n">
        <v>0</v>
      </c>
      <c r="K15" t="n">
        <v>1</v>
      </c>
      <c r="L15" t="n">
        <v>1</v>
      </c>
      <c r="M15" t="n">
        <v>0</v>
      </c>
      <c r="N15" t="n">
        <v>2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7</v>
      </c>
      <c r="U15" s="2" t="inlineStr">
        <is>
          <t>Ask
Skogsalm
Gullpudra
Trubbfjädermossa</t>
        </is>
      </c>
      <c r="V15">
        <f>HYPERLINK("https://klasma.github.io/Logging_1266/artfynd/A 5619-2024 artfynd.xlsx", "A 5619-2024")</f>
        <v/>
      </c>
      <c r="W15">
        <f>HYPERLINK("https://klasma.github.io/Logging_1266/kartor/A 5619-2024 karta.png", "A 5619-2024")</f>
        <v/>
      </c>
      <c r="X15">
        <f>HYPERLINK("https://klasma.github.io/Logging_1266/kartor_geotiff/A 5619-2024 georefererad karta.tif", "A 5619-2024")</f>
        <v/>
      </c>
      <c r="Z15">
        <f>HYPERLINK("https://klasma.github.io/Logging_1266/klagomål/A 5619-2024 FSC-klagomål.docx", "A 5619-2024")</f>
        <v/>
      </c>
      <c r="AA15">
        <f>HYPERLINK("https://klasma.github.io/Logging_1266/klagomålsmail/A 5619-2024 FSC-klagomål mail.docx", "A 5619-2024")</f>
        <v/>
      </c>
      <c r="AB15">
        <f>HYPERLINK("https://klasma.github.io/Logging_1266/tillsyn/A 5619-2024 tillsynsbegäran.docx", "A 5619-2024")</f>
        <v/>
      </c>
      <c r="AC15">
        <f>HYPERLINK("https://klasma.github.io/Logging_1266/tillsynsmail/A 5619-2024 tillsynsbegäran mail.docx", "A 5619-2024")</f>
        <v/>
      </c>
    </row>
    <row r="16" ht="15" customHeight="1">
      <c r="A16" t="inlineStr">
        <is>
          <t>A 20193-2024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45434</v>
      </c>
      <c r="E16" s="1" t="n">
        <v>46223</v>
      </c>
      <c r="F16" t="inlineStr">
        <is>
          <t>SKÅNE LÄN</t>
        </is>
      </c>
      <c r="G16" t="inlineStr">
        <is>
          <t>HÖRBY</t>
        </is>
      </c>
      <c r="I16" t="n">
        <v>11.2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Vårärt
Strutbräken
Vätteros</t>
        </is>
      </c>
      <c r="V16">
        <f>HYPERLINK("https://klasma.github.io/Logging_1266/artfynd/A 20193-2024 artfynd.xlsx", "A 20193-2024")</f>
        <v/>
      </c>
      <c r="W16">
        <f>HYPERLINK("https://klasma.github.io/Logging_1266/kartor/A 20193-2024 karta.png", "A 20193-2024")</f>
        <v/>
      </c>
      <c r="X16">
        <f>HYPERLINK("https://klasma.github.io/Logging_1266/kartor_geotiff/A 20193-2024 georefererad karta.tif", "A 20193-2024")</f>
        <v/>
      </c>
      <c r="Z16">
        <f>HYPERLINK("https://klasma.github.io/Logging_1266/klagomål/A 20193-2024 FSC-klagomål.docx", "A 20193-2024")</f>
        <v/>
      </c>
      <c r="AA16">
        <f>HYPERLINK("https://klasma.github.io/Logging_1266/klagomålsmail/A 20193-2024 FSC-klagomål mail.docx", "A 20193-2024")</f>
        <v/>
      </c>
      <c r="AB16">
        <f>HYPERLINK("https://klasma.github.io/Logging_1266/tillsyn/A 20193-2024 tillsynsbegäran.docx", "A 20193-2024")</f>
        <v/>
      </c>
      <c r="AC16">
        <f>HYPERLINK("https://klasma.github.io/Logging_1266/tillsynsmail/A 20193-2024 tillsynsbegäran mail.docx", "A 20193-2024")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46223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s="2" t="inlineStr">
        <is>
          <t>Borsttåg
Grönvit nattviol
Revlummer</t>
        </is>
      </c>
      <c r="V17">
        <f>HYPERLINK("https://klasma.github.io/Logging_1266/artfynd/A 2823-2025 artfynd.xlsx", "A 2823-2025")</f>
        <v/>
      </c>
      <c r="W17">
        <f>HYPERLINK("https://klasma.github.io/Logging_1266/kartor/A 2823-2025 karta.png", "A 2823-2025")</f>
        <v/>
      </c>
      <c r="X17">
        <f>HYPERLINK("https://klasma.github.io/Logging_1266/kartor_geotiff/A 2823-2025 georefererad karta.tif", "A 2823-2025")</f>
        <v/>
      </c>
      <c r="Z17">
        <f>HYPERLINK("https://klasma.github.io/Logging_1266/klagomål/A 2823-2025 FSC-klagomål.docx", "A 2823-2025")</f>
        <v/>
      </c>
      <c r="AA17">
        <f>HYPERLINK("https://klasma.github.io/Logging_1266/klagomålsmail/A 2823-2025 FSC-klagomål mail.docx", "A 2823-2025")</f>
        <v/>
      </c>
      <c r="AB17">
        <f>HYPERLINK("https://klasma.github.io/Logging_1266/tillsyn/A 2823-2025 tillsynsbegäran.docx", "A 2823-2025")</f>
        <v/>
      </c>
      <c r="AC17">
        <f>HYPERLINK("https://klasma.github.io/Logging_1266/tillsynsmail/A 2823-2025 tillsynsbegäran mail.docx", "A 2823-2025")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46223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s="2" t="inlineStr">
        <is>
          <t>Bokvårtlav
Sydlig sotticka
Västlig hakmossa</t>
        </is>
      </c>
      <c r="V18">
        <f>HYPERLINK("https://klasma.github.io/Logging_1266/artfynd/A 27738-2025 artfynd.xlsx", "A 27738-2025")</f>
        <v/>
      </c>
      <c r="W18">
        <f>HYPERLINK("https://klasma.github.io/Logging_1266/kartor/A 27738-2025 karta.png", "A 27738-2025")</f>
        <v/>
      </c>
      <c r="X18">
        <f>HYPERLINK("https://klasma.github.io/Logging_1266/kartor_geotiff/A 27738-2025 georefererad karta.tif", "A 27738-2025")</f>
        <v/>
      </c>
      <c r="Z18">
        <f>HYPERLINK("https://klasma.github.io/Logging_1266/klagomål/A 27738-2025 FSC-klagomål.docx", "A 27738-2025")</f>
        <v/>
      </c>
      <c r="AA18">
        <f>HYPERLINK("https://klasma.github.io/Logging_1266/klagomålsmail/A 27738-2025 FSC-klagomål mail.docx", "A 27738-2025")</f>
        <v/>
      </c>
      <c r="AB18">
        <f>HYPERLINK("https://klasma.github.io/Logging_1266/tillsyn/A 27738-2025 tillsynsbegäran.docx", "A 27738-2025")</f>
        <v/>
      </c>
      <c r="AC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46223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s="2" t="inlineStr">
        <is>
          <t>Ask
Småvänderot
Platt fjädermossa</t>
        </is>
      </c>
      <c r="V19">
        <f>HYPERLINK("https://klasma.github.io/Logging_1266/artfynd/A 24801-2025 artfynd.xlsx", "A 24801-2025")</f>
        <v/>
      </c>
      <c r="W19">
        <f>HYPERLINK("https://klasma.github.io/Logging_1266/kartor/A 24801-2025 karta.png", "A 24801-2025")</f>
        <v/>
      </c>
      <c r="X19">
        <f>HYPERLINK("https://klasma.github.io/Logging_1266/kartor_geotiff/A 24801-2025 georefererad karta.tif", "A 24801-2025")</f>
        <v/>
      </c>
      <c r="Z19">
        <f>HYPERLINK("https://klasma.github.io/Logging_1266/klagomål/A 24801-2025 FSC-klagomål.docx", "A 24801-2025")</f>
        <v/>
      </c>
      <c r="AA19">
        <f>HYPERLINK("https://klasma.github.io/Logging_1266/klagomålsmail/A 24801-2025 FSC-klagomål mail.docx", "A 24801-2025")</f>
        <v/>
      </c>
      <c r="AB19">
        <f>HYPERLINK("https://klasma.github.io/Logging_1266/tillsyn/A 24801-2025 tillsynsbegäran.docx", "A 24801-2025")</f>
        <v/>
      </c>
      <c r="AC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46223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s="2" t="inlineStr">
        <is>
          <t>Slåttergubbe
Borsttåg
Sotnätfjäril</t>
        </is>
      </c>
      <c r="V20">
        <f>HYPERLINK("https://klasma.github.io/Logging_1266/artfynd/A 24158-2022 artfynd.xlsx", "A 24158-2022")</f>
        <v/>
      </c>
      <c r="W20">
        <f>HYPERLINK("https://klasma.github.io/Logging_1266/kartor/A 24158-2022 karta.png", "A 24158-2022")</f>
        <v/>
      </c>
      <c r="X20">
        <f>HYPERLINK("https://klasma.github.io/Logging_1266/kartor_geotiff/A 24158-2022 georefererad karta.tif", "A 24158-2022")</f>
        <v/>
      </c>
      <c r="Z20">
        <f>HYPERLINK("https://klasma.github.io/Logging_1266/klagomål/A 24158-2022 FSC-klagomål.docx", "A 24158-2022")</f>
        <v/>
      </c>
      <c r="AA20">
        <f>HYPERLINK("https://klasma.github.io/Logging_1266/klagomålsmail/A 24158-2022 FSC-klagomål mail.docx", "A 24158-2022")</f>
        <v/>
      </c>
      <c r="AB20">
        <f>HYPERLINK("https://klasma.github.io/Logging_1266/tillsyn/A 24158-2022 tillsynsbegäran.docx", "A 24158-2022")</f>
        <v/>
      </c>
      <c r="AC20">
        <f>HYPERLINK("https://klasma.github.io/Logging_1266/tillsynsmail/A 24158-2022 tillsynsbegäran mail.docx", "A 24158-2022")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46223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Ladusvala
Vanlig padda</t>
        </is>
      </c>
      <c r="V21">
        <f>HYPERLINK("https://klasma.github.io/Logging_1266/artfynd/A 44135-2024 artfynd.xlsx", "A 44135-2024")</f>
        <v/>
      </c>
      <c r="W21">
        <f>HYPERLINK("https://klasma.github.io/Logging_1266/kartor/A 44135-2024 karta.png", "A 44135-2024")</f>
        <v/>
      </c>
      <c r="X21">
        <f>HYPERLINK("https://klasma.github.io/Logging_1266/kartor_geotiff/A 44135-2024 georefererad karta.tif", "A 44135-2024")</f>
        <v/>
      </c>
      <c r="Z21">
        <f>HYPERLINK("https://klasma.github.io/Logging_1266/klagomål/A 44135-2024 FSC-klagomål.docx", "A 44135-2024")</f>
        <v/>
      </c>
      <c r="AA21">
        <f>HYPERLINK("https://klasma.github.io/Logging_1266/klagomålsmail/A 44135-2024 FSC-klagomål mail.docx", "A 44135-2024")</f>
        <v/>
      </c>
      <c r="AB21">
        <f>HYPERLINK("https://klasma.github.io/Logging_1266/tillsyn/A 44135-2024 tillsynsbegäran.docx", "A 44135-2024")</f>
        <v/>
      </c>
      <c r="AC21">
        <f>HYPERLINK("https://klasma.github.io/Logging_1266/tillsynsmail/A 44135-2024 tillsynsbegäran mail.docx", "A 44135-2024")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46223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s="2" t="inlineStr">
        <is>
          <t>Hedblomster
Skogslysing</t>
        </is>
      </c>
      <c r="V22">
        <f>HYPERLINK("https://klasma.github.io/Logging_1266/artfynd/A 824-2026 artfynd.xlsx", "A 824-2026")</f>
        <v/>
      </c>
      <c r="W22">
        <f>HYPERLINK("https://klasma.github.io/Logging_1266/kartor/A 824-2026 karta.png", "A 824-2026")</f>
        <v/>
      </c>
      <c r="X22">
        <f>HYPERLINK("https://klasma.github.io/Logging_1266/kartor_geotiff/A 824-2026 georefererad karta.tif", "A 824-2026")</f>
        <v/>
      </c>
      <c r="Z22">
        <f>HYPERLINK("https://klasma.github.io/Logging_1266/klagomål/A 824-2026 FSC-klagomål.docx", "A 824-2026")</f>
        <v/>
      </c>
      <c r="AA22">
        <f>HYPERLINK("https://klasma.github.io/Logging_1266/klagomålsmail/A 824-2026 FSC-klagomål mail.docx", "A 824-2026")</f>
        <v/>
      </c>
      <c r="AB22">
        <f>HYPERLINK("https://klasma.github.io/Logging_1266/tillsyn/A 824-2026 tillsynsbegäran.docx", "A 824-2026")</f>
        <v/>
      </c>
      <c r="AC22">
        <f>HYPERLINK("https://klasma.github.io/Logging_1266/tillsynsmail/A 824-2026 tillsynsbegäran mail.docx", "A 824-2026")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46223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s="2" t="inlineStr">
        <is>
          <t>Ask
Grönvit nattviol</t>
        </is>
      </c>
      <c r="V23">
        <f>HYPERLINK("https://klasma.github.io/Logging_1266/artfynd/A 42724-2023 artfynd.xlsx", "A 42724-2023")</f>
        <v/>
      </c>
      <c r="W23">
        <f>HYPERLINK("https://klasma.github.io/Logging_1266/kartor/A 42724-2023 karta.png", "A 42724-2023")</f>
        <v/>
      </c>
      <c r="X23">
        <f>HYPERLINK("https://klasma.github.io/Logging_1266/kartor_geotiff/A 42724-2023 georefererad karta.tif", "A 42724-2023")</f>
        <v/>
      </c>
      <c r="Z23">
        <f>HYPERLINK("https://klasma.github.io/Logging_1266/klagomål/A 42724-2023 FSC-klagomål.docx", "A 42724-2023")</f>
        <v/>
      </c>
      <c r="AA23">
        <f>HYPERLINK("https://klasma.github.io/Logging_1266/klagomålsmail/A 42724-2023 FSC-klagomål mail.docx", "A 42724-2023")</f>
        <v/>
      </c>
      <c r="AB23">
        <f>HYPERLINK("https://klasma.github.io/Logging_1266/tillsyn/A 42724-2023 tillsynsbegäran.docx", "A 42724-2023")</f>
        <v/>
      </c>
      <c r="AC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46223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Grönsiska
Kungsfågel</t>
        </is>
      </c>
      <c r="V24">
        <f>HYPERLINK("https://klasma.github.io/Logging_1266/artfynd/S 230-2024 artfynd.xlsx", "S 230-2024")</f>
        <v/>
      </c>
      <c r="W24">
        <f>HYPERLINK("https://klasma.github.io/Logging_1266/kartor/S 230-2024 karta.png", "S 230-2024")</f>
        <v/>
      </c>
      <c r="X24">
        <f>HYPERLINK("https://klasma.github.io/Logging_1266/kartor_geotiff/S 230-2024 georefererad karta.tif", "S 230-2024")</f>
        <v/>
      </c>
      <c r="Z24">
        <f>HYPERLINK("https://klasma.github.io/Logging_1266/klagomål/S 230-2024 FSC-klagomål.docx", "S 230-2024")</f>
        <v/>
      </c>
      <c r="AA24">
        <f>HYPERLINK("https://klasma.github.io/Logging_1266/klagomålsmail/S 230-2024 FSC-klagomål mail.docx", "S 230-2024")</f>
        <v/>
      </c>
      <c r="AB24">
        <f>HYPERLINK("https://klasma.github.io/Logging_1266/tillsyn/S 230-2024 tillsynsbegäran.docx", "S 230-2024")</f>
        <v/>
      </c>
      <c r="AC24">
        <f>HYPERLINK("https://klasma.github.io/Logging_1266/tillsynsmail/S 230-2024 tillsynsbegäran mail.docx", "S 230-2024")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46223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Lundvårlök</t>
        </is>
      </c>
      <c r="V25">
        <f>HYPERLINK("https://klasma.github.io/Logging_1266/artfynd/A 25479-2025 artfynd.xlsx", "A 25479-2025")</f>
        <v/>
      </c>
      <c r="W25">
        <f>HYPERLINK("https://klasma.github.io/Logging_1266/kartor/A 25479-2025 karta.png", "A 25479-2025")</f>
        <v/>
      </c>
      <c r="X25">
        <f>HYPERLINK("https://klasma.github.io/Logging_1266/kartor_geotiff/A 25479-2025 georefererad karta.tif", "A 25479-2025")</f>
        <v/>
      </c>
      <c r="Z25">
        <f>HYPERLINK("https://klasma.github.io/Logging_1266/klagomål/A 25479-2025 FSC-klagomål.docx", "A 25479-2025")</f>
        <v/>
      </c>
      <c r="AA25">
        <f>HYPERLINK("https://klasma.github.io/Logging_1266/klagomålsmail/A 25479-2025 FSC-klagomål mail.docx", "A 25479-2025")</f>
        <v/>
      </c>
      <c r="AB25">
        <f>HYPERLINK("https://klasma.github.io/Logging_1266/tillsyn/A 25479-2025 tillsynsbegäran.docx", "A 25479-2025")</f>
        <v/>
      </c>
      <c r="AC25">
        <f>HYPERLINK("https://klasma.github.io/Logging_1266/tillsynsmail/A 25479-2025 tillsynsbegäran mail.docx", "A 25479-2025")</f>
        <v/>
      </c>
    </row>
    <row r="26" ht="15" customHeight="1">
      <c r="A26" t="inlineStr">
        <is>
          <t>A 47612-2023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45203</v>
      </c>
      <c r="E26" s="1" t="n">
        <v>46223</v>
      </c>
      <c r="F26" t="inlineStr">
        <is>
          <t>SKÅNE LÄN</t>
        </is>
      </c>
      <c r="G26" t="inlineStr">
        <is>
          <t>HÖRBY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Ask</t>
        </is>
      </c>
      <c r="V26">
        <f>HYPERLINK("https://klasma.github.io/Logging_1266/artfynd/A 47612-2023 artfynd.xlsx", "A 47612-2023")</f>
        <v/>
      </c>
      <c r="W26">
        <f>HYPERLINK("https://klasma.github.io/Logging_1266/kartor/A 47612-2023 karta.png", "A 47612-2023")</f>
        <v/>
      </c>
      <c r="X26">
        <f>HYPERLINK("https://klasma.github.io/Logging_1266/kartor_geotiff/A 47612-2023 georefererad karta.tif", "A 47612-2023")</f>
        <v/>
      </c>
      <c r="Z26">
        <f>HYPERLINK("https://klasma.github.io/Logging_1266/klagomål/A 47612-2023 FSC-klagomål.docx", "A 47612-2023")</f>
        <v/>
      </c>
      <c r="AA26">
        <f>HYPERLINK("https://klasma.github.io/Logging_1266/klagomålsmail/A 47612-2023 FSC-klagomål mail.docx", "A 47612-2023")</f>
        <v/>
      </c>
      <c r="AB26">
        <f>HYPERLINK("https://klasma.github.io/Logging_1266/tillsyn/A 47612-2023 tillsynsbegäran.docx", "A 47612-2023")</f>
        <v/>
      </c>
      <c r="AC26">
        <f>HYPERLINK("https://klasma.github.io/Logging_1266/tillsynsmail/A 47612-2023 tillsynsbegäran mail.docx", "A 47612-2023")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46223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Slåttergubbe</t>
        </is>
      </c>
      <c r="V27">
        <f>HYPERLINK("https://klasma.github.io/Logging_1266/artfynd/A 113-2023 artfynd.xlsx", "A 113-2023")</f>
        <v/>
      </c>
      <c r="W27">
        <f>HYPERLINK("https://klasma.github.io/Logging_1266/kartor/A 113-2023 karta.png", "A 113-2023")</f>
        <v/>
      </c>
      <c r="X27">
        <f>HYPERLINK("https://klasma.github.io/Logging_1266/kartor_geotiff/A 113-2023 georefererad karta.tif", "A 113-2023")</f>
        <v/>
      </c>
      <c r="Z27">
        <f>HYPERLINK("https://klasma.github.io/Logging_1266/klagomål/A 113-2023 FSC-klagomål.docx", "A 113-2023")</f>
        <v/>
      </c>
      <c r="AA27">
        <f>HYPERLINK("https://klasma.github.io/Logging_1266/klagomålsmail/A 113-2023 FSC-klagomål mail.docx", "A 113-2023")</f>
        <v/>
      </c>
      <c r="AB27">
        <f>HYPERLINK("https://klasma.github.io/Logging_1266/tillsyn/A 113-2023 tillsynsbegäran.docx", "A 113-2023")</f>
        <v/>
      </c>
      <c r="AC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46223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s="2" t="inlineStr">
        <is>
          <t>Slåttergubbe</t>
        </is>
      </c>
      <c r="V28">
        <f>HYPERLINK("https://klasma.github.io/Logging_1266/artfynd/A 25833-2024 artfynd.xlsx", "A 25833-2024")</f>
        <v/>
      </c>
      <c r="W28">
        <f>HYPERLINK("https://klasma.github.io/Logging_1266/kartor/A 25833-2024 karta.png", "A 25833-2024")</f>
        <v/>
      </c>
      <c r="X28">
        <f>HYPERLINK("https://klasma.github.io/Logging_1266/kartor_geotiff/A 25833-2024 georefererad karta.tif", "A 25833-2024")</f>
        <v/>
      </c>
      <c r="Z28">
        <f>HYPERLINK("https://klasma.github.io/Logging_1266/klagomål/A 25833-2024 FSC-klagomål.docx", "A 25833-2024")</f>
        <v/>
      </c>
      <c r="AA28">
        <f>HYPERLINK("https://klasma.github.io/Logging_1266/klagomålsmail/A 25833-2024 FSC-klagomål mail.docx", "A 25833-2024")</f>
        <v/>
      </c>
      <c r="AB28">
        <f>HYPERLINK("https://klasma.github.io/Logging_1266/tillsyn/A 25833-2024 tillsynsbegäran.docx", "A 25833-2024")</f>
        <v/>
      </c>
      <c r="AC28">
        <f>HYPERLINK("https://klasma.github.io/Logging_1266/tillsynsmail/A 25833-2024 tillsynsbegäran mail.docx", "A 25833-2024")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46223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Talltita</t>
        </is>
      </c>
      <c r="V29">
        <f>HYPERLINK("https://klasma.github.io/Logging_1266/artfynd/A 40376-2023 artfynd.xlsx", "A 40376-2023")</f>
        <v/>
      </c>
      <c r="W29">
        <f>HYPERLINK("https://klasma.github.io/Logging_1266/kartor/A 40376-2023 karta.png", "A 40376-2023")</f>
        <v/>
      </c>
      <c r="X29">
        <f>HYPERLINK("https://klasma.github.io/Logging_1266/kartor_geotiff/A 40376-2023 georefererad karta.tif", "A 40376-2023")</f>
        <v/>
      </c>
      <c r="Z29">
        <f>HYPERLINK("https://klasma.github.io/Logging_1266/klagomål/A 40376-2023 FSC-klagomål.docx", "A 40376-2023")</f>
        <v/>
      </c>
      <c r="AA29">
        <f>HYPERLINK("https://klasma.github.io/Logging_1266/klagomålsmail/A 40376-2023 FSC-klagomål mail.docx", "A 40376-2023")</f>
        <v/>
      </c>
      <c r="AB29">
        <f>HYPERLINK("https://klasma.github.io/Logging_1266/tillsyn/A 40376-2023 tillsynsbegäran.docx", "A 40376-2023")</f>
        <v/>
      </c>
      <c r="AC29">
        <f>HYPERLINK("https://klasma.github.io/Logging_1266/tillsynsmail/A 40376-2023 tillsynsbegäran mail.docx", "A 40376-2023")</f>
        <v/>
      </c>
      <c r="AD29">
        <f>HYPERLINK("https://klasma.github.io/Logging_1266/fåglar/A 40376-2023 prioriterade fågelarter.docx", "A 40376-2023")</f>
        <v/>
      </c>
    </row>
    <row r="30" ht="15" customHeight="1">
      <c r="A30" t="inlineStr">
        <is>
          <t>A 31115-2024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45502</v>
      </c>
      <c r="E30" s="1" t="n">
        <v>46223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Gullpudra</t>
        </is>
      </c>
      <c r="V30">
        <f>HYPERLINK("https://klasma.github.io/Logging_1266/artfynd/A 31115-2024 artfynd.xlsx", "A 31115-2024")</f>
        <v/>
      </c>
      <c r="W30">
        <f>HYPERLINK("https://klasma.github.io/Logging_1266/kartor/A 31115-2024 karta.png", "A 31115-2024")</f>
        <v/>
      </c>
      <c r="X30">
        <f>HYPERLINK("https://klasma.github.io/Logging_1266/kartor_geotiff/A 31115-2024 georefererad karta.tif", "A 31115-2024")</f>
        <v/>
      </c>
      <c r="Z30">
        <f>HYPERLINK("https://klasma.github.io/Logging_1266/klagomål/A 31115-2024 FSC-klagomål.docx", "A 31115-2024")</f>
        <v/>
      </c>
      <c r="AA30">
        <f>HYPERLINK("https://klasma.github.io/Logging_1266/klagomålsmail/A 31115-2024 FSC-klagomål mail.docx", "A 31115-2024")</f>
        <v/>
      </c>
      <c r="AB30">
        <f>HYPERLINK("https://klasma.github.io/Logging_1266/tillsyn/A 31115-2024 tillsynsbegäran.docx", "A 31115-2024")</f>
        <v/>
      </c>
      <c r="AC30">
        <f>HYPERLINK("https://klasma.github.io/Logging_1266/tillsynsmail/A 31115-2024 tillsynsbegäran mail.docx", "A 31115-2024")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46223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Ask</t>
        </is>
      </c>
      <c r="V31">
        <f>HYPERLINK("https://klasma.github.io/Logging_1266/artfynd/A 16519-2026 artfynd.xlsx", "A 16519-2026")</f>
        <v/>
      </c>
      <c r="W31">
        <f>HYPERLINK("https://klasma.github.io/Logging_1266/kartor/A 16519-2026 karta.png", "A 16519-2026")</f>
        <v/>
      </c>
      <c r="X31">
        <f>HYPERLINK("https://klasma.github.io/Logging_1266/kartor_geotiff/A 16519-2026 georefererad karta.tif", "A 16519-2026")</f>
        <v/>
      </c>
      <c r="Z31">
        <f>HYPERLINK("https://klasma.github.io/Logging_1266/klagomål/A 16519-2026 FSC-klagomål.docx", "A 16519-2026")</f>
        <v/>
      </c>
      <c r="AA31">
        <f>HYPERLINK("https://klasma.github.io/Logging_1266/klagomålsmail/A 16519-2026 FSC-klagomål mail.docx", "A 16519-2026")</f>
        <v/>
      </c>
      <c r="AB31">
        <f>HYPERLINK("https://klasma.github.io/Logging_1266/tillsyn/A 16519-2026 tillsynsbegäran.docx", "A 16519-2026")</f>
        <v/>
      </c>
      <c r="AC31">
        <f>HYPERLINK("https://klasma.github.io/Logging_1266/tillsynsmail/A 16519-2026 tillsynsbegäran mail.docx", "A 16519-2026")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46223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Tandrot</t>
        </is>
      </c>
      <c r="V32">
        <f>HYPERLINK("https://klasma.github.io/Logging_1266/artfynd/A 24823-2026 artfynd.xlsx", "A 24823-2026")</f>
        <v/>
      </c>
      <c r="W32">
        <f>HYPERLINK("https://klasma.github.io/Logging_1266/kartor/A 24823-2026 karta.png", "A 24823-2026")</f>
        <v/>
      </c>
      <c r="X32">
        <f>HYPERLINK("https://klasma.github.io/Logging_1266/kartor_geotiff/A 24823-2026 georefererad karta.tif", "A 24823-2026")</f>
        <v/>
      </c>
      <c r="Z32">
        <f>HYPERLINK("https://klasma.github.io/Logging_1266/klagomål/A 24823-2026 FSC-klagomål.docx", "A 24823-2026")</f>
        <v/>
      </c>
      <c r="AA32">
        <f>HYPERLINK("https://klasma.github.io/Logging_1266/klagomålsmail/A 24823-2026 FSC-klagomål mail.docx", "A 24823-2026")</f>
        <v/>
      </c>
      <c r="AB32">
        <f>HYPERLINK("https://klasma.github.io/Logging_1266/tillsyn/A 24823-2026 tillsynsbegäran.docx", "A 24823-2026")</f>
        <v/>
      </c>
      <c r="AC32">
        <f>HYPERLINK("https://klasma.github.io/Logging_1266/tillsynsmail/A 24823-2026 tillsynsbegäran mail.docx", "A 24823-2026")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46223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Vanlig groda</t>
        </is>
      </c>
      <c r="V33">
        <f>HYPERLINK("https://klasma.github.io/Logging_1266/artfynd/A 31284-2026 artfynd.xlsx", "A 31284-2026")</f>
        <v/>
      </c>
      <c r="W33">
        <f>HYPERLINK("https://klasma.github.io/Logging_1266/kartor/A 31284-2026 karta.png", "A 31284-2026")</f>
        <v/>
      </c>
      <c r="X33">
        <f>HYPERLINK("https://klasma.github.io/Logging_1266/kartor_geotiff/A 31284-2026 georefererad karta.tif", "A 31284-2026")</f>
        <v/>
      </c>
      <c r="Z33">
        <f>HYPERLINK("https://klasma.github.io/Logging_1266/klagomål/A 31284-2026 FSC-klagomål.docx", "A 31284-2026")</f>
        <v/>
      </c>
      <c r="AA33">
        <f>HYPERLINK("https://klasma.github.io/Logging_1266/klagomålsmail/A 31284-2026 FSC-klagomål mail.docx", "A 31284-2026")</f>
        <v/>
      </c>
      <c r="AB33">
        <f>HYPERLINK("https://klasma.github.io/Logging_1266/tillsyn/A 31284-2026 tillsynsbegäran.docx", "A 31284-2026")</f>
        <v/>
      </c>
      <c r="AC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46223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HYPERLINK("https://klasma.github.io/Logging_1266/artfynd/A 30165-2026 artfynd.xlsx", "A 30165-2026")</f>
        <v/>
      </c>
      <c r="W34">
        <f>HYPERLINK("https://klasma.github.io/Logging_1266/kartor/A 30165-2026 karta.png", "A 30165-2026")</f>
        <v/>
      </c>
      <c r="X34">
        <f>HYPERLINK("https://klasma.github.io/Logging_1266/kartor_geotiff/A 30165-2026 georefererad karta.tif", "A 30165-2026")</f>
        <v/>
      </c>
      <c r="Z34">
        <f>HYPERLINK("https://klasma.github.io/Logging_1266/klagomål/A 30165-2026 FSC-klagomål.docx", "A 30165-2026")</f>
        <v/>
      </c>
      <c r="AA34">
        <f>HYPERLINK("https://klasma.github.io/Logging_1266/klagomålsmail/A 30165-2026 FSC-klagomål mail.docx", "A 30165-2026")</f>
        <v/>
      </c>
      <c r="AB34">
        <f>HYPERLINK("https://klasma.github.io/Logging_1266/tillsyn/A 30165-2026 tillsynsbegäran.docx", "A 30165-2026")</f>
        <v/>
      </c>
      <c r="AC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46223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HYPERLINK("https://klasma.github.io/Logging_1266/artfynd/A 29129-2026 artfynd.xlsx", "A 29129-2026")</f>
        <v/>
      </c>
      <c r="W35">
        <f>HYPERLINK("https://klasma.github.io/Logging_1266/kartor/A 29129-2026 karta.png", "A 29129-2026")</f>
        <v/>
      </c>
      <c r="X35">
        <f>HYPERLINK("https://klasma.github.io/Logging_1266/kartor_geotiff/A 29129-2026 georefererad karta.tif", "A 29129-2026")</f>
        <v/>
      </c>
      <c r="Z35">
        <f>HYPERLINK("https://klasma.github.io/Logging_1266/klagomål/A 29129-2026 FSC-klagomål.docx", "A 29129-2026")</f>
        <v/>
      </c>
      <c r="AA35">
        <f>HYPERLINK("https://klasma.github.io/Logging_1266/klagomålsmail/A 29129-2026 FSC-klagomål mail.docx", "A 29129-2026")</f>
        <v/>
      </c>
      <c r="AB35">
        <f>HYPERLINK("https://klasma.github.io/Logging_1266/tillsyn/A 29129-2026 tillsynsbegäran.docx", "A 29129-2026")</f>
        <v/>
      </c>
      <c r="AC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46223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Gröngöling</t>
        </is>
      </c>
      <c r="V36">
        <f>HYPERLINK("https://klasma.github.io/Logging_1266/artfynd/A 21713-2025 artfynd.xlsx", "A 21713-2025")</f>
        <v/>
      </c>
      <c r="W36">
        <f>HYPERLINK("https://klasma.github.io/Logging_1266/kartor/A 21713-2025 karta.png", "A 21713-2025")</f>
        <v/>
      </c>
      <c r="X36">
        <f>HYPERLINK("https://klasma.github.io/Logging_1266/kartor_geotiff/A 21713-2025 georefererad karta.tif", "A 21713-2025")</f>
        <v/>
      </c>
      <c r="Z36">
        <f>HYPERLINK("https://klasma.github.io/Logging_1266/klagomål/A 21713-2025 FSC-klagomål.docx", "A 21713-2025")</f>
        <v/>
      </c>
      <c r="AA36">
        <f>HYPERLINK("https://klasma.github.io/Logging_1266/klagomålsmail/A 21713-2025 FSC-klagomål mail.docx", "A 21713-2025")</f>
        <v/>
      </c>
      <c r="AB36">
        <f>HYPERLINK("https://klasma.github.io/Logging_1266/tillsyn/A 21713-2025 tillsynsbegäran.docx", "A 21713-2025")</f>
        <v/>
      </c>
      <c r="AC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46223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Kambräken</t>
        </is>
      </c>
      <c r="V37">
        <f>HYPERLINK("https://klasma.github.io/Logging_1266/artfynd/S 2020-2023 artfynd.xlsx", "S 2020-2023")</f>
        <v/>
      </c>
      <c r="W37">
        <f>HYPERLINK("https://klasma.github.io/Logging_1266/kartor/S 2020-2023 karta.png", "S 2020-2023")</f>
        <v/>
      </c>
      <c r="X37">
        <f>HYPERLINK("https://klasma.github.io/Logging_1266/kartor_geotiff/S 2020-2023 georefererad karta.tif", "S 2020-2023")</f>
        <v/>
      </c>
      <c r="Z37">
        <f>HYPERLINK("https://klasma.github.io/Logging_1266/klagomål/S 2020-2023 FSC-klagomål.docx", "S 2020-2023")</f>
        <v/>
      </c>
      <c r="AA37">
        <f>HYPERLINK("https://klasma.github.io/Logging_1266/klagomålsmail/S 2020-2023 FSC-klagomål mail.docx", "S 2020-2023")</f>
        <v/>
      </c>
      <c r="AB37">
        <f>HYPERLINK("https://klasma.github.io/Logging_1266/tillsyn/S 2020-2023 tillsynsbegäran.docx", "S 2020-2023")</f>
        <v/>
      </c>
      <c r="AC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46223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Kransrams</t>
        </is>
      </c>
      <c r="V38">
        <f>HYPERLINK("https://klasma.github.io/Logging_1266/artfynd/S 913-2023 artfynd.xlsx", "S 913-2023")</f>
        <v/>
      </c>
      <c r="W38">
        <f>HYPERLINK("https://klasma.github.io/Logging_1266/kartor/S 913-2023 karta.png", "S 913-2023")</f>
        <v/>
      </c>
      <c r="X38">
        <f>HYPERLINK("https://klasma.github.io/Logging_1266/kartor_geotiff/S 913-2023 georefererad karta.tif", "S 913-2023")</f>
        <v/>
      </c>
      <c r="Z38">
        <f>HYPERLINK("https://klasma.github.io/Logging_1266/klagomål/S 913-2023 FSC-klagomål.docx", "S 913-2023")</f>
        <v/>
      </c>
      <c r="AA38">
        <f>HYPERLINK("https://klasma.github.io/Logging_1266/klagomålsmail/S 913-2023 FSC-klagomål mail.docx", "S 913-2023")</f>
        <v/>
      </c>
      <c r="AB38">
        <f>HYPERLINK("https://klasma.github.io/Logging_1266/tillsyn/S 913-2023 tillsynsbegäran.docx", "S 913-2023")</f>
        <v/>
      </c>
      <c r="AC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46223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46223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46223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46223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46223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46223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46223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46223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46223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46223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46223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46223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46223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9974-2024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46223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15970-2024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45405</v>
      </c>
      <c r="E53" s="1" t="n">
        <v>46223</v>
      </c>
      <c r="F53" t="inlineStr">
        <is>
          <t>SKÅNE LÄN</t>
        </is>
      </c>
      <c r="G53" t="inlineStr">
        <is>
          <t>HÖRBY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5163-2024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46223</v>
      </c>
      <c r="F54" t="inlineStr">
        <is>
          <t>SKÅNE LÄN</t>
        </is>
      </c>
      <c r="G54" t="inlineStr">
        <is>
          <t>HÖRBY</t>
        </is>
      </c>
      <c r="H54" t="inlineStr">
        <is>
          <t>Kyrkan</t>
        </is>
      </c>
      <c r="I54" t="n">
        <v>7.1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46223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44810</v>
      </c>
      <c r="E56" s="1" t="n">
        <v>46223</v>
      </c>
      <c r="F56" t="inlineStr">
        <is>
          <t>SKÅNE LÄN</t>
        </is>
      </c>
      <c r="G56" t="inlineStr">
        <is>
          <t>HÖRBY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46223</v>
      </c>
      <c r="F57" t="inlineStr">
        <is>
          <t>SKÅNE LÄN</t>
        </is>
      </c>
      <c r="G57" t="inlineStr">
        <is>
          <t>HÖRBY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33359-2023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46223</v>
      </c>
      <c r="F58" t="inlineStr">
        <is>
          <t>SKÅNE LÄN</t>
        </is>
      </c>
      <c r="G58" t="inlineStr">
        <is>
          <t>HÖRBY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54894-2023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45236</v>
      </c>
      <c r="E59" s="1" t="n">
        <v>46223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36689-2024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45537</v>
      </c>
      <c r="E60" s="1" t="n">
        <v>46223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9.5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38080-2024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46223</v>
      </c>
      <c r="F61" t="inlineStr">
        <is>
          <t>SKÅNE LÄN</t>
        </is>
      </c>
      <c r="G61" t="inlineStr">
        <is>
          <t>HÖRBY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28746-2024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46223</v>
      </c>
      <c r="F62" t="inlineStr">
        <is>
          <t>SKÅNE LÄN</t>
        </is>
      </c>
      <c r="G62" t="inlineStr">
        <is>
          <t>HÖRBY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37082-2023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45155</v>
      </c>
      <c r="E63" s="1" t="n">
        <v>46223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44944</v>
      </c>
      <c r="E64" s="1" t="n">
        <v>46223</v>
      </c>
      <c r="F64" t="inlineStr">
        <is>
          <t>SKÅNE LÄN</t>
        </is>
      </c>
      <c r="G64" t="inlineStr">
        <is>
          <t>HÖRBY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28785-2023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45104</v>
      </c>
      <c r="E65" s="1" t="n">
        <v>46223</v>
      </c>
      <c r="F65" t="inlineStr">
        <is>
          <t>SKÅNE LÄN</t>
        </is>
      </c>
      <c r="G65" t="inlineStr">
        <is>
          <t>HÖRBY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2688-2026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46223</v>
      </c>
      <c r="F66" t="inlineStr">
        <is>
          <t>SKÅNE LÄN</t>
        </is>
      </c>
      <c r="G66" t="inlineStr">
        <is>
          <t>HÖRBY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23484-2025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46223</v>
      </c>
      <c r="F67" t="inlineStr">
        <is>
          <t>SKÅNE LÄN</t>
        </is>
      </c>
      <c r="G67" t="inlineStr">
        <is>
          <t>HÖRBY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13225-2024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45386</v>
      </c>
      <c r="E68" s="1" t="n">
        <v>46223</v>
      </c>
      <c r="F68" t="inlineStr">
        <is>
          <t>SKÅNE LÄN</t>
        </is>
      </c>
      <c r="G68" t="inlineStr">
        <is>
          <t>HÖRBY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13226-2024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46223</v>
      </c>
      <c r="F69" t="inlineStr">
        <is>
          <t>SKÅNE LÄN</t>
        </is>
      </c>
      <c r="G69" t="inlineStr">
        <is>
          <t>HÖRBY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48397-2022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46223</v>
      </c>
      <c r="F70" t="inlineStr">
        <is>
          <t>SKÅNE LÄN</t>
        </is>
      </c>
      <c r="G70" t="inlineStr">
        <is>
          <t>HÖRBY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15998-2024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46223</v>
      </c>
      <c r="F71" t="inlineStr">
        <is>
          <t>SKÅNE LÄN</t>
        </is>
      </c>
      <c r="G71" t="inlineStr">
        <is>
          <t>HÖRBY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16001-2024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45405</v>
      </c>
      <c r="E72" s="1" t="n">
        <v>46223</v>
      </c>
      <c r="F72" t="inlineStr">
        <is>
          <t>SKÅNE LÄN</t>
        </is>
      </c>
      <c r="G72" t="inlineStr">
        <is>
          <t>HÖRBY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45818</v>
      </c>
      <c r="E73" s="1" t="n">
        <v>46223</v>
      </c>
      <c r="F73" t="inlineStr">
        <is>
          <t>SKÅNE LÄN</t>
        </is>
      </c>
      <c r="G73" t="inlineStr">
        <is>
          <t>HÖRBY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9612-2025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46223</v>
      </c>
      <c r="F74" t="inlineStr">
        <is>
          <t>SKÅNE LÄN</t>
        </is>
      </c>
      <c r="G74" t="inlineStr">
        <is>
          <t>HÖRBY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45572</v>
      </c>
      <c r="E75" s="1" t="n">
        <v>46223</v>
      </c>
      <c r="F75" t="inlineStr">
        <is>
          <t>SKÅNE LÄN</t>
        </is>
      </c>
      <c r="G75" t="inlineStr">
        <is>
          <t>HÖRBY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29244-2025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46223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46223</v>
      </c>
      <c r="F77" t="inlineStr">
        <is>
          <t>SKÅNE LÄN</t>
        </is>
      </c>
      <c r="G77" t="inlineStr">
        <is>
          <t>HÖRBY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5374-2026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46050</v>
      </c>
      <c r="E78" s="1" t="n">
        <v>46223</v>
      </c>
      <c r="F78" t="inlineStr">
        <is>
          <t>SKÅNE LÄN</t>
        </is>
      </c>
      <c r="G78" t="inlineStr">
        <is>
          <t>HÖRBY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18609-2025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46223</v>
      </c>
      <c r="F79" t="inlineStr">
        <is>
          <t>SKÅNE LÄN</t>
        </is>
      </c>
      <c r="G79" t="inlineStr">
        <is>
          <t>HÖRBY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56750-2023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45238</v>
      </c>
      <c r="E80" s="1" t="n">
        <v>46223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42715-2023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45176</v>
      </c>
      <c r="E81" s="1" t="n">
        <v>46223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13633-2024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45390</v>
      </c>
      <c r="E82" s="1" t="n">
        <v>46223</v>
      </c>
      <c r="F82" t="inlineStr">
        <is>
          <t>SKÅNE LÄN</t>
        </is>
      </c>
      <c r="G82" t="inlineStr">
        <is>
          <t>HÖRBY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45315</v>
      </c>
      <c r="E83" s="1" t="n">
        <v>46223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6.4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32459-2025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46223</v>
      </c>
      <c r="F84" t="inlineStr">
        <is>
          <t>SKÅNE LÄN</t>
        </is>
      </c>
      <c r="G84" t="inlineStr">
        <is>
          <t>HÖRBY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32958-2025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45839</v>
      </c>
      <c r="E85" s="1" t="n">
        <v>46223</v>
      </c>
      <c r="F85" t="inlineStr">
        <is>
          <t>SKÅNE LÄN</t>
        </is>
      </c>
      <c r="G85" t="inlineStr">
        <is>
          <t>HÖRBY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46223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58641-2023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45251</v>
      </c>
      <c r="E87" s="1" t="n">
        <v>46223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37756-2024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46223</v>
      </c>
      <c r="F88" t="inlineStr">
        <is>
          <t>SKÅNE LÄN</t>
        </is>
      </c>
      <c r="G88" t="inlineStr">
        <is>
          <t>HÖRBY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18603-2025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45763</v>
      </c>
      <c r="E89" s="1" t="n">
        <v>46223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3346-2024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45317</v>
      </c>
      <c r="E90" s="1" t="n">
        <v>46223</v>
      </c>
      <c r="F90" t="inlineStr">
        <is>
          <t>SKÅNE LÄN</t>
        </is>
      </c>
      <c r="G90" t="inlineStr">
        <is>
          <t>HÖRBY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788-2024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45300</v>
      </c>
      <c r="E91" s="1" t="n">
        <v>46223</v>
      </c>
      <c r="F91" t="inlineStr">
        <is>
          <t>SKÅNE LÄN</t>
        </is>
      </c>
      <c r="G91" t="inlineStr">
        <is>
          <t>HÖRBY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36355-2025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45868</v>
      </c>
      <c r="E92" s="1" t="n">
        <v>46223</v>
      </c>
      <c r="F92" t="inlineStr">
        <is>
          <t>SKÅNE LÄN</t>
        </is>
      </c>
      <c r="G92" t="inlineStr">
        <is>
          <t>HÖRBY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36362-2025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46223</v>
      </c>
      <c r="F93" t="inlineStr">
        <is>
          <t>SKÅNE LÄN</t>
        </is>
      </c>
      <c r="G93" t="inlineStr">
        <is>
          <t>HÖRBY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25552-2025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46223</v>
      </c>
      <c r="F94" t="inlineStr">
        <is>
          <t>SKÅNE LÄN</t>
        </is>
      </c>
      <c r="G94" t="inlineStr">
        <is>
          <t>HÖRBY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45602</v>
      </c>
      <c r="E95" s="1" t="n">
        <v>46223</v>
      </c>
      <c r="F95" t="inlineStr">
        <is>
          <t>SKÅNE LÄN</t>
        </is>
      </c>
      <c r="G95" t="inlineStr">
        <is>
          <t>HÖRBY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50200-2025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46223</v>
      </c>
      <c r="F96" t="inlineStr">
        <is>
          <t>SKÅNE LÄN</t>
        </is>
      </c>
      <c r="G96" t="inlineStr">
        <is>
          <t>HÖRBY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34147-2025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45845</v>
      </c>
      <c r="E97" s="1" t="n">
        <v>46223</v>
      </c>
      <c r="F97" t="inlineStr">
        <is>
          <t>SKÅNE LÄN</t>
        </is>
      </c>
      <c r="G97" t="inlineStr">
        <is>
          <t>HÖRBY</t>
        </is>
      </c>
      <c r="I97" t="n">
        <v>18.7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38147-2025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46223</v>
      </c>
      <c r="F98" t="inlineStr">
        <is>
          <t>SKÅNE LÄN</t>
        </is>
      </c>
      <c r="G98" t="inlineStr">
        <is>
          <t>HÖRBY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45677</v>
      </c>
      <c r="E99" s="1" t="n">
        <v>46223</v>
      </c>
      <c r="F99" t="inlineStr">
        <is>
          <t>SKÅNE LÄN</t>
        </is>
      </c>
      <c r="G99" t="inlineStr">
        <is>
          <t>HÖRBY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45750</v>
      </c>
      <c r="E100" s="1" t="n">
        <v>46223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8310-2026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46064</v>
      </c>
      <c r="E101" s="1" t="n">
        <v>46223</v>
      </c>
      <c r="F101" t="inlineStr">
        <is>
          <t>SKÅNE LÄN</t>
        </is>
      </c>
      <c r="G101" t="inlineStr">
        <is>
          <t>HÖRBY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51757-2025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45951</v>
      </c>
      <c r="E102" s="1" t="n">
        <v>46223</v>
      </c>
      <c r="F102" t="inlineStr">
        <is>
          <t>SKÅNE LÄN</t>
        </is>
      </c>
      <c r="G102" t="inlineStr">
        <is>
          <t>HÖRBY</t>
        </is>
      </c>
      <c r="H102" t="inlineStr">
        <is>
          <t>Sveaskog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34422-2024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45525</v>
      </c>
      <c r="E103" s="1" t="n">
        <v>46223</v>
      </c>
      <c r="F103" t="inlineStr">
        <is>
          <t>SKÅNE LÄN</t>
        </is>
      </c>
      <c r="G103" t="inlineStr">
        <is>
          <t>HÖRBY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8260-2026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46064</v>
      </c>
      <c r="E104" s="1" t="n">
        <v>46223</v>
      </c>
      <c r="F104" t="inlineStr">
        <is>
          <t>SKÅNE LÄN</t>
        </is>
      </c>
      <c r="G104" t="inlineStr">
        <is>
          <t>HÖRBY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8259-2026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46064</v>
      </c>
      <c r="E105" s="1" t="n">
        <v>46223</v>
      </c>
      <c r="F105" t="inlineStr">
        <is>
          <t>SKÅNE LÄN</t>
        </is>
      </c>
      <c r="G105" t="inlineStr">
        <is>
          <t>HÖRBY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11943-2025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45728</v>
      </c>
      <c r="E106" s="1" t="n">
        <v>46223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52929-2025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45957</v>
      </c>
      <c r="E107" s="1" t="n">
        <v>46223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8.300000000000001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44613-2023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46223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52930-2025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46223</v>
      </c>
      <c r="F109" t="inlineStr">
        <is>
          <t>SKÅNE LÄN</t>
        </is>
      </c>
      <c r="G109" t="inlineStr">
        <is>
          <t>HÖRBY</t>
        </is>
      </c>
      <c r="H109" t="inlineStr">
        <is>
          <t>Sveaskog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43937-2023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45187</v>
      </c>
      <c r="E110" s="1" t="n">
        <v>46223</v>
      </c>
      <c r="F110" t="inlineStr">
        <is>
          <t>SKÅNE LÄN</t>
        </is>
      </c>
      <c r="G110" t="inlineStr">
        <is>
          <t>HÖRBY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43939-2023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46223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67426-2021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46223</v>
      </c>
      <c r="F112" t="inlineStr">
        <is>
          <t>SKÅNE LÄN</t>
        </is>
      </c>
      <c r="G112" t="inlineStr">
        <is>
          <t>HÖRBY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3534-2025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46223</v>
      </c>
      <c r="F113" t="inlineStr">
        <is>
          <t>SKÅNE LÄN</t>
        </is>
      </c>
      <c r="G113" t="inlineStr">
        <is>
          <t>HÖRBY</t>
        </is>
      </c>
      <c r="H113" t="inlineStr">
        <is>
          <t>Kyrkan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10110-2026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46074</v>
      </c>
      <c r="E114" s="1" t="n">
        <v>46223</v>
      </c>
      <c r="F114" t="inlineStr">
        <is>
          <t>SKÅNE LÄN</t>
        </is>
      </c>
      <c r="G114" t="inlineStr">
        <is>
          <t>HÖRBY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7831-2025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45706</v>
      </c>
      <c r="E115" s="1" t="n">
        <v>46223</v>
      </c>
      <c r="F115" t="inlineStr">
        <is>
          <t>SKÅNE LÄN</t>
        </is>
      </c>
      <c r="G115" t="inlineStr">
        <is>
          <t>HÖRBY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54765-2025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45966</v>
      </c>
      <c r="E116" s="1" t="n">
        <v>46223</v>
      </c>
      <c r="F116" t="inlineStr">
        <is>
          <t>SKÅNE LÄN</t>
        </is>
      </c>
      <c r="G116" t="inlineStr">
        <is>
          <t>HÖRBY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10731-2026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46223</v>
      </c>
      <c r="F117" t="inlineStr">
        <is>
          <t>SKÅNE LÄN</t>
        </is>
      </c>
      <c r="G117" t="inlineStr">
        <is>
          <t>HÖRBY</t>
        </is>
      </c>
      <c r="H117" t="inlineStr">
        <is>
          <t>Kyrkan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40994-2025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46223</v>
      </c>
      <c r="F118" t="inlineStr">
        <is>
          <t>SKÅNE LÄN</t>
        </is>
      </c>
      <c r="G118" t="inlineStr">
        <is>
          <t>HÖRBY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55304-2025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45970</v>
      </c>
      <c r="E119" s="1" t="n">
        <v>46223</v>
      </c>
      <c r="F119" t="inlineStr">
        <is>
          <t>SKÅNE LÄN</t>
        </is>
      </c>
      <c r="G119" t="inlineStr">
        <is>
          <t>HÖRBY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55306-2025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45970</v>
      </c>
      <c r="E120" s="1" t="n">
        <v>46223</v>
      </c>
      <c r="F120" t="inlineStr">
        <is>
          <t>SKÅNE LÄN</t>
        </is>
      </c>
      <c r="G120" t="inlineStr">
        <is>
          <t>HÖRBY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18735-2023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46223</v>
      </c>
      <c r="F121" t="inlineStr">
        <is>
          <t>SKÅNE LÄN</t>
        </is>
      </c>
      <c r="G121" t="inlineStr">
        <is>
          <t>HÖRBY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57269-2025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45979</v>
      </c>
      <c r="E122" s="1" t="n">
        <v>46223</v>
      </c>
      <c r="F122" t="inlineStr">
        <is>
          <t>SKÅNE LÄN</t>
        </is>
      </c>
      <c r="G122" t="inlineStr">
        <is>
          <t>HÖRBY</t>
        </is>
      </c>
      <c r="H122" t="inlineStr">
        <is>
          <t>Sveaskog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59284-2025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45988</v>
      </c>
      <c r="E123" s="1" t="n">
        <v>46223</v>
      </c>
      <c r="F123" t="inlineStr">
        <is>
          <t>SKÅNE LÄN</t>
        </is>
      </c>
      <c r="G123" t="inlineStr">
        <is>
          <t>HÖRBY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59308-2025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45989</v>
      </c>
      <c r="E124" s="1" t="n">
        <v>46223</v>
      </c>
      <c r="F124" t="inlineStr">
        <is>
          <t>SKÅNE LÄN</t>
        </is>
      </c>
      <c r="G124" t="inlineStr">
        <is>
          <t>HÖRBY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28493-2023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46223</v>
      </c>
      <c r="F125" t="inlineStr">
        <is>
          <t>SKÅNE LÄN</t>
        </is>
      </c>
      <c r="G125" t="inlineStr">
        <is>
          <t>HÖRBY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23328-2023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45076</v>
      </c>
      <c r="E126" s="1" t="n">
        <v>46223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36840-2024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45538</v>
      </c>
      <c r="E127" s="1" t="n">
        <v>46223</v>
      </c>
      <c r="F127" t="inlineStr">
        <is>
          <t>SKÅNE LÄN</t>
        </is>
      </c>
      <c r="G127" t="inlineStr">
        <is>
          <t>HÖRBY</t>
        </is>
      </c>
      <c r="H127" t="inlineStr">
        <is>
          <t>Sveaskog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60913-2023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45261</v>
      </c>
      <c r="E128" s="1" t="n">
        <v>46223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8084-2022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44608</v>
      </c>
      <c r="E129" s="1" t="n">
        <v>46223</v>
      </c>
      <c r="F129" t="inlineStr">
        <is>
          <t>SKÅNE LÄN</t>
        </is>
      </c>
      <c r="G129" t="inlineStr">
        <is>
          <t>HÖRBY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62277-2025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46223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14307-2026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46099</v>
      </c>
      <c r="E131" s="1" t="n">
        <v>46223</v>
      </c>
      <c r="F131" t="inlineStr">
        <is>
          <t>SKÅNE LÄN</t>
        </is>
      </c>
      <c r="G131" t="inlineStr">
        <is>
          <t>HÖRBY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28625-2023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45103</v>
      </c>
      <c r="E132" s="1" t="n">
        <v>46223</v>
      </c>
      <c r="F132" t="inlineStr">
        <is>
          <t>SKÅNE LÄN</t>
        </is>
      </c>
      <c r="G132" t="inlineStr">
        <is>
          <t>HÖRBY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46042</v>
      </c>
      <c r="E133" s="1" t="n">
        <v>46223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46042</v>
      </c>
      <c r="E134" s="1" t="n">
        <v>46223</v>
      </c>
      <c r="F134" t="inlineStr">
        <is>
          <t>SKÅNE LÄN</t>
        </is>
      </c>
      <c r="G134" t="inlineStr">
        <is>
          <t>HÖRBY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826-2026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46030</v>
      </c>
      <c r="E135" s="1" t="n">
        <v>46223</v>
      </c>
      <c r="F135" t="inlineStr">
        <is>
          <t>SKÅNE LÄN</t>
        </is>
      </c>
      <c r="G135" t="inlineStr">
        <is>
          <t>HÖRBY</t>
        </is>
      </c>
      <c r="H135" t="inlineStr">
        <is>
          <t>Sveaskog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46030</v>
      </c>
      <c r="E136" s="1" t="n">
        <v>46223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821-2026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46223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46223</v>
      </c>
      <c r="F138" t="inlineStr">
        <is>
          <t>SKÅNE LÄN</t>
        </is>
      </c>
      <c r="G138" t="inlineStr">
        <is>
          <t>HÖRBY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9850-2026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46072</v>
      </c>
      <c r="E139" s="1" t="n">
        <v>46223</v>
      </c>
      <c r="F139" t="inlineStr">
        <is>
          <t>SKÅNE LÄN</t>
        </is>
      </c>
      <c r="G139" t="inlineStr">
        <is>
          <t>HÖRBY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46223</v>
      </c>
      <c r="F140" t="inlineStr">
        <is>
          <t>SKÅNE LÄN</t>
        </is>
      </c>
      <c r="G140" t="inlineStr">
        <is>
          <t>HÖRBY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46223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1989-2026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46223</v>
      </c>
      <c r="F142" t="inlineStr">
        <is>
          <t>SKÅNE LÄN</t>
        </is>
      </c>
      <c r="G142" t="inlineStr">
        <is>
          <t>HÖRBY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46223</v>
      </c>
      <c r="F143" t="inlineStr">
        <is>
          <t>SKÅNE LÄN</t>
        </is>
      </c>
      <c r="G143" t="inlineStr">
        <is>
          <t>HÖRBY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46223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1106-2023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46223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17073-2023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45034</v>
      </c>
      <c r="E146" s="1" t="n">
        <v>46223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2979-2024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45315</v>
      </c>
      <c r="E147" s="1" t="n">
        <v>46223</v>
      </c>
      <c r="F147" t="inlineStr">
        <is>
          <t>SKÅNE LÄN</t>
        </is>
      </c>
      <c r="G147" t="inlineStr">
        <is>
          <t>HÖRBY</t>
        </is>
      </c>
      <c r="H147" t="inlineStr">
        <is>
          <t>Kyrkan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31596-2023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46223</v>
      </c>
      <c r="F148" t="inlineStr">
        <is>
          <t>SKÅNE LÄN</t>
        </is>
      </c>
      <c r="G148" t="inlineStr">
        <is>
          <t>HÖRBY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46059</v>
      </c>
      <c r="E149" s="1" t="n">
        <v>46223</v>
      </c>
      <c r="F149" t="inlineStr">
        <is>
          <t>SKÅNE LÄN</t>
        </is>
      </c>
      <c r="G149" t="inlineStr">
        <is>
          <t>HÖRBY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54184-2024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46223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46223</v>
      </c>
      <c r="F151" t="inlineStr">
        <is>
          <t>SKÅNE LÄN</t>
        </is>
      </c>
      <c r="G151" t="inlineStr">
        <is>
          <t>HÖRBY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43932-2023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46223</v>
      </c>
      <c r="F152" t="inlineStr">
        <is>
          <t>SKÅNE LÄN</t>
        </is>
      </c>
      <c r="G152" t="inlineStr">
        <is>
          <t>HÖRBY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46223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20403-2024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46223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46223</v>
      </c>
      <c r="F155" t="inlineStr">
        <is>
          <t>SKÅNE LÄN</t>
        </is>
      </c>
      <c r="G155" t="inlineStr">
        <is>
          <t>HÖRBY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44816-2023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46223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47552-2023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46223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65073-2023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45287</v>
      </c>
      <c r="E158" s="1" t="n">
        <v>46223</v>
      </c>
      <c r="F158" t="inlineStr">
        <is>
          <t>SKÅNE LÄN</t>
        </is>
      </c>
      <c r="G158" t="inlineStr">
        <is>
          <t>HÖRBY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54431-2023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46223</v>
      </c>
      <c r="F159" t="inlineStr">
        <is>
          <t>SKÅNE LÄN</t>
        </is>
      </c>
      <c r="G159" t="inlineStr">
        <is>
          <t>HÖRBY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46223</v>
      </c>
      <c r="F160" t="inlineStr">
        <is>
          <t>SKÅNE LÄN</t>
        </is>
      </c>
      <c r="G160" t="inlineStr">
        <is>
          <t>HÖRBY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45187</v>
      </c>
      <c r="E161" s="1" t="n">
        <v>46223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45680</v>
      </c>
      <c r="E162" s="1" t="n">
        <v>46223</v>
      </c>
      <c r="F162" t="inlineStr">
        <is>
          <t>SKÅNE LÄN</t>
        </is>
      </c>
      <c r="G162" t="inlineStr">
        <is>
          <t>HÖRBY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49726-2023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45208</v>
      </c>
      <c r="E163" s="1" t="n">
        <v>46223</v>
      </c>
      <c r="F163" t="inlineStr">
        <is>
          <t>SKÅNE LÄN</t>
        </is>
      </c>
      <c r="G163" t="inlineStr">
        <is>
          <t>HÖRBY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28501-2023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45103</v>
      </c>
      <c r="E164" s="1" t="n">
        <v>46223</v>
      </c>
      <c r="F164" t="inlineStr">
        <is>
          <t>SKÅNE LÄN</t>
        </is>
      </c>
      <c r="G164" t="inlineStr">
        <is>
          <t>HÖRBY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33873-2024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45521</v>
      </c>
      <c r="E165" s="1" t="n">
        <v>46223</v>
      </c>
      <c r="F165" t="inlineStr">
        <is>
          <t>SKÅNE LÄN</t>
        </is>
      </c>
      <c r="G165" t="inlineStr">
        <is>
          <t>HÖRBY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58360-2023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46223</v>
      </c>
      <c r="F166" t="inlineStr">
        <is>
          <t>SKÅNE LÄN</t>
        </is>
      </c>
      <c r="G166" t="inlineStr">
        <is>
          <t>HÖRBY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39298-2023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46223</v>
      </c>
      <c r="F167" t="inlineStr">
        <is>
          <t>SKÅNE LÄN</t>
        </is>
      </c>
      <c r="G167" t="inlineStr">
        <is>
          <t>HÖRBY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29219-2023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45105</v>
      </c>
      <c r="E168" s="1" t="n">
        <v>46223</v>
      </c>
      <c r="F168" t="inlineStr">
        <is>
          <t>SKÅNE LÄN</t>
        </is>
      </c>
      <c r="G168" t="inlineStr">
        <is>
          <t>HÖRBY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3542-2025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46223</v>
      </c>
      <c r="F169" t="inlineStr">
        <is>
          <t>SKÅNE LÄN</t>
        </is>
      </c>
      <c r="G169" t="inlineStr">
        <is>
          <t>HÖRBY</t>
        </is>
      </c>
      <c r="H169" t="inlineStr">
        <is>
          <t>Kyrkan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47637-2023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45203</v>
      </c>
      <c r="E170" s="1" t="n">
        <v>46223</v>
      </c>
      <c r="F170" t="inlineStr">
        <is>
          <t>SKÅNE LÄN</t>
        </is>
      </c>
      <c r="G170" t="inlineStr">
        <is>
          <t>HÖRBY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24670-2024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46223</v>
      </c>
      <c r="F171" t="inlineStr">
        <is>
          <t>SKÅNE LÄN</t>
        </is>
      </c>
      <c r="G171" t="inlineStr">
        <is>
          <t>HÖRBY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3177-2026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46041</v>
      </c>
      <c r="E172" s="1" t="n">
        <v>46223</v>
      </c>
      <c r="F172" t="inlineStr">
        <is>
          <t>SKÅNE LÄN</t>
        </is>
      </c>
      <c r="G172" t="inlineStr">
        <is>
          <t>HÖRBY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44959</v>
      </c>
      <c r="E173" s="1" t="n">
        <v>46223</v>
      </c>
      <c r="F173" t="inlineStr">
        <is>
          <t>SKÅNE LÄN</t>
        </is>
      </c>
      <c r="G173" t="inlineStr">
        <is>
          <t>HÖRBY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31114-2024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45502</v>
      </c>
      <c r="E174" s="1" t="n">
        <v>46223</v>
      </c>
      <c r="F174" t="inlineStr">
        <is>
          <t>SKÅNE LÄN</t>
        </is>
      </c>
      <c r="G174" t="inlineStr">
        <is>
          <t>HÖRBY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11941-2025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46223</v>
      </c>
      <c r="F175" t="inlineStr">
        <is>
          <t>SKÅNE LÄN</t>
        </is>
      </c>
      <c r="G175" t="inlineStr">
        <is>
          <t>HÖRBY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44814</v>
      </c>
      <c r="E176" s="1" t="n">
        <v>46223</v>
      </c>
      <c r="F176" t="inlineStr">
        <is>
          <t>SKÅNE LÄN</t>
        </is>
      </c>
      <c r="G176" t="inlineStr">
        <is>
          <t>HÖRBY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37757-2024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46223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25183-2023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46223</v>
      </c>
      <c r="F178" t="inlineStr">
        <is>
          <t>SKÅNE LÄN</t>
        </is>
      </c>
      <c r="G178" t="inlineStr">
        <is>
          <t>HÖRBY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44073-2024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45572</v>
      </c>
      <c r="E179" s="1" t="n">
        <v>46223</v>
      </c>
      <c r="F179" t="inlineStr">
        <is>
          <t>SKÅNE LÄN</t>
        </is>
      </c>
      <c r="G179" t="inlineStr">
        <is>
          <t>HÖRBY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37276-2024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45540</v>
      </c>
      <c r="E180" s="1" t="n">
        <v>46223</v>
      </c>
      <c r="F180" t="inlineStr">
        <is>
          <t>SKÅNE LÄN</t>
        </is>
      </c>
      <c r="G180" t="inlineStr">
        <is>
          <t>HÖRBY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20595-2024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46223</v>
      </c>
      <c r="F181" t="inlineStr">
        <is>
          <t>SKÅNE LÄN</t>
        </is>
      </c>
      <c r="G181" t="inlineStr">
        <is>
          <t>HÖRBY</t>
        </is>
      </c>
      <c r="H181" t="inlineStr">
        <is>
          <t>Sveaskog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29124-2026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46223</v>
      </c>
      <c r="F182" t="inlineStr">
        <is>
          <t>SKÅNE LÄN</t>
        </is>
      </c>
      <c r="G182" t="inlineStr">
        <is>
          <t>HÖRBY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29137-2026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46202</v>
      </c>
      <c r="E183" s="1" t="n">
        <v>46223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29138-2026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46202</v>
      </c>
      <c r="E184" s="1" t="n">
        <v>46223</v>
      </c>
      <c r="F184" t="inlineStr">
        <is>
          <t>SKÅNE LÄN</t>
        </is>
      </c>
      <c r="G184" t="inlineStr">
        <is>
          <t>HÖRBY</t>
        </is>
      </c>
      <c r="H184" t="inlineStr">
        <is>
          <t>Sveaskog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29135-2026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46202</v>
      </c>
      <c r="E185" s="1" t="n">
        <v>46223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44928</v>
      </c>
      <c r="E186" s="1" t="n">
        <v>46223</v>
      </c>
      <c r="F186" t="inlineStr">
        <is>
          <t>SKÅNE LÄN</t>
        </is>
      </c>
      <c r="G186" t="inlineStr">
        <is>
          <t>HÖRBY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46223</v>
      </c>
      <c r="F187" t="inlineStr">
        <is>
          <t>SKÅNE LÄN</t>
        </is>
      </c>
      <c r="G187" t="inlineStr">
        <is>
          <t>HÖRBY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43685-2022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44837</v>
      </c>
      <c r="E188" s="1" t="n">
        <v>46223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24724-2024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45460</v>
      </c>
      <c r="E189" s="1" t="n">
        <v>46223</v>
      </c>
      <c r="F189" t="inlineStr">
        <is>
          <t>SKÅNE LÄN</t>
        </is>
      </c>
      <c r="G189" t="inlineStr">
        <is>
          <t>HÖRBY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57017-2025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45978</v>
      </c>
      <c r="E190" s="1" t="n">
        <v>46223</v>
      </c>
      <c r="F190" t="inlineStr">
        <is>
          <t>SKÅNE LÄN</t>
        </is>
      </c>
      <c r="G190" t="inlineStr">
        <is>
          <t>HÖRBY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6558-2025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45699</v>
      </c>
      <c r="E191" s="1" t="n">
        <v>46223</v>
      </c>
      <c r="F191" t="inlineStr">
        <is>
          <t>SKÅNE LÄN</t>
        </is>
      </c>
      <c r="G191" t="inlineStr">
        <is>
          <t>HÖRBY</t>
        </is>
      </c>
      <c r="H191" t="inlineStr">
        <is>
          <t>Kommuner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2747-2023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46223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31522-2022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44775</v>
      </c>
      <c r="E193" s="1" t="n">
        <v>46223</v>
      </c>
      <c r="F193" t="inlineStr">
        <is>
          <t>SKÅNE LÄN</t>
        </is>
      </c>
      <c r="G193" t="inlineStr">
        <is>
          <t>HÖRBY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20047-2026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46223</v>
      </c>
      <c r="F194" t="inlineStr">
        <is>
          <t>SKÅNE LÄN</t>
        </is>
      </c>
      <c r="G194" t="inlineStr">
        <is>
          <t>HÖRBY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10500-2026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46223</v>
      </c>
      <c r="F195" t="inlineStr">
        <is>
          <t>SKÅNE LÄN</t>
        </is>
      </c>
      <c r="G195" t="inlineStr">
        <is>
          <t>HÖRBY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10524-2026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46076</v>
      </c>
      <c r="E196" s="1" t="n">
        <v>46223</v>
      </c>
      <c r="F196" t="inlineStr">
        <is>
          <t>SKÅNE LÄN</t>
        </is>
      </c>
      <c r="G196" t="inlineStr">
        <is>
          <t>HÖRBY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55265-2023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45237</v>
      </c>
      <c r="E197" s="1" t="n">
        <v>46223</v>
      </c>
      <c r="F197" t="inlineStr">
        <is>
          <t>SKÅNE LÄN</t>
        </is>
      </c>
      <c r="G197" t="inlineStr">
        <is>
          <t>HÖRBY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55307-2025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45970</v>
      </c>
      <c r="E198" s="1" t="n">
        <v>46223</v>
      </c>
      <c r="F198" t="inlineStr">
        <is>
          <t>SKÅNE LÄN</t>
        </is>
      </c>
      <c r="G198" t="inlineStr">
        <is>
          <t>HÖRBY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46223</v>
      </c>
      <c r="F199" t="inlineStr">
        <is>
          <t>SKÅNE LÄN</t>
        </is>
      </c>
      <c r="G199" t="inlineStr">
        <is>
          <t>HÖRBY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28918-2023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46223</v>
      </c>
      <c r="F200" t="inlineStr">
        <is>
          <t>SKÅNE LÄN</t>
        </is>
      </c>
      <c r="G200" t="inlineStr">
        <is>
          <t>HÖRBY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3239-2023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44946</v>
      </c>
      <c r="E201" s="1" t="n">
        <v>46223</v>
      </c>
      <c r="F201" t="inlineStr">
        <is>
          <t>SKÅNE LÄN</t>
        </is>
      </c>
      <c r="G201" t="inlineStr">
        <is>
          <t>HÖRBY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13228-2024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46223</v>
      </c>
      <c r="F202" t="inlineStr">
        <is>
          <t>SKÅNE LÄN</t>
        </is>
      </c>
      <c r="G202" t="inlineStr">
        <is>
          <t>HÖRBY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48427-2022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44858</v>
      </c>
      <c r="E203" s="1" t="n">
        <v>46223</v>
      </c>
      <c r="F203" t="inlineStr">
        <is>
          <t>SKÅNE LÄN</t>
        </is>
      </c>
      <c r="G203" t="inlineStr">
        <is>
          <t>HÖRBY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4756-2025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45688</v>
      </c>
      <c r="E204" s="1" t="n">
        <v>46223</v>
      </c>
      <c r="F204" t="inlineStr">
        <is>
          <t>SKÅNE LÄN</t>
        </is>
      </c>
      <c r="G204" t="inlineStr">
        <is>
          <t>HÖRBY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33358-2023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46223</v>
      </c>
      <c r="F205" t="inlineStr">
        <is>
          <t>SKÅNE LÄN</t>
        </is>
      </c>
      <c r="G205" t="inlineStr">
        <is>
          <t>HÖRBY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39507-2024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45551</v>
      </c>
      <c r="E206" s="1" t="n">
        <v>46223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46048</v>
      </c>
      <c r="E207" s="1" t="n">
        <v>46223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46223</v>
      </c>
      <c r="F208" t="inlineStr">
        <is>
          <t>SKÅNE LÄN</t>
        </is>
      </c>
      <c r="G208" t="inlineStr">
        <is>
          <t>HÖRBY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30934-2026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46213</v>
      </c>
      <c r="E209" s="1" t="n">
        <v>46223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41940-2022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44833</v>
      </c>
      <c r="E210" s="1" t="n">
        <v>46223</v>
      </c>
      <c r="F210" t="inlineStr">
        <is>
          <t>SKÅNE LÄN</t>
        </is>
      </c>
      <c r="G210" t="inlineStr">
        <is>
          <t>HÖRBY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43882-2023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45187</v>
      </c>
      <c r="E211" s="1" t="n">
        <v>46223</v>
      </c>
      <c r="F211" t="inlineStr">
        <is>
          <t>SKÅNE LÄN</t>
        </is>
      </c>
      <c r="G211" t="inlineStr">
        <is>
          <t>HÖRBY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18369-2025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45762</v>
      </c>
      <c r="E212" s="1" t="n">
        <v>46223</v>
      </c>
      <c r="F212" t="inlineStr">
        <is>
          <t>SKÅNE LÄN</t>
        </is>
      </c>
      <c r="G212" t="inlineStr">
        <is>
          <t>HÖRBY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28527-2023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46223</v>
      </c>
      <c r="F213" t="inlineStr">
        <is>
          <t>SKÅNE LÄN</t>
        </is>
      </c>
      <c r="G213" t="inlineStr">
        <is>
          <t>HÖRBY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19420-2022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44693</v>
      </c>
      <c r="E214" s="1" t="n">
        <v>46223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31286-2026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46218</v>
      </c>
      <c r="E215" s="1" t="n">
        <v>46223</v>
      </c>
      <c r="F215" t="inlineStr">
        <is>
          <t>SKÅNE LÄN</t>
        </is>
      </c>
      <c r="G215" t="inlineStr">
        <is>
          <t>HÖRBY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23606-2026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46162</v>
      </c>
      <c r="E216" s="1" t="n">
        <v>46223</v>
      </c>
      <c r="F216" t="inlineStr">
        <is>
          <t>SKÅNE LÄN</t>
        </is>
      </c>
      <c r="G216" t="inlineStr">
        <is>
          <t>HÖRBY</t>
        </is>
      </c>
      <c r="I216" t="n">
        <v>9.4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47641-2023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45203</v>
      </c>
      <c r="E217" s="1" t="n">
        <v>46223</v>
      </c>
      <c r="F217" t="inlineStr">
        <is>
          <t>SKÅNE LÄN</t>
        </is>
      </c>
      <c r="G217" t="inlineStr">
        <is>
          <t>HÖRBY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60963-2023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45261</v>
      </c>
      <c r="E218" s="1" t="n">
        <v>46223</v>
      </c>
      <c r="F218" t="inlineStr">
        <is>
          <t>SKÅNE LÄN</t>
        </is>
      </c>
      <c r="G218" t="inlineStr">
        <is>
          <t>HÖRBY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52310-2023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45224</v>
      </c>
      <c r="E219" s="1" t="n">
        <v>46223</v>
      </c>
      <c r="F219" t="inlineStr">
        <is>
          <t>SKÅNE LÄN</t>
        </is>
      </c>
      <c r="G219" t="inlineStr">
        <is>
          <t>HÖRBY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46223</v>
      </c>
      <c r="F220" t="inlineStr">
        <is>
          <t>SKÅNE LÄN</t>
        </is>
      </c>
      <c r="G220" t="inlineStr">
        <is>
          <t>HÖRBY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45754</v>
      </c>
      <c r="E221" s="1" t="n">
        <v>46223</v>
      </c>
      <c r="F221" t="inlineStr">
        <is>
          <t>SKÅNE LÄN</t>
        </is>
      </c>
      <c r="G221" t="inlineStr">
        <is>
          <t>HÖRBY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43711-2024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45569</v>
      </c>
      <c r="E222" s="1" t="n">
        <v>46223</v>
      </c>
      <c r="F222" t="inlineStr">
        <is>
          <t>SKÅNE LÄN</t>
        </is>
      </c>
      <c r="G222" t="inlineStr">
        <is>
          <t>HÖRBY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46223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46223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46223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46223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46223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46223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46223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46223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2026-07-20T01:47:07Z</dcterms:created>
  <dcterms:modified xmlns:dcterms="http://purl.org/dc/terms/" xmlns:xsi="http://www.w3.org/2001/XMLSchema-instance" xsi:type="dcterms:W3CDTF">2026-07-20T01:47:07Z</dcterms:modified>
</cp:coreProperties>
</file>