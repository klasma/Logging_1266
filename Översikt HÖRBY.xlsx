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46289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46289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46289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46289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46289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46289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46289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46289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46289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46289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46289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46289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46289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46289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113-2023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46289</v>
      </c>
      <c r="F24" t="inlineStr">
        <is>
          <t>SKÅNE LÄN</t>
        </is>
      </c>
      <c r="G24" t="inlineStr">
        <is>
          <t>HÖRBY</t>
        </is>
      </c>
      <c r="I24" t="n">
        <v>5.1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HYPERLINK("https://klasma.github.io/Logging_1266/artfynd/A 113-2023 artfynd.xlsx", "A 113-2023")</f>
        <v/>
      </c>
      <c r="X24">
        <f>HYPERLINK("https://klasma.github.io/Logging_1266/kartor/A 113-2023 karta.png", "A 113-2023")</f>
        <v/>
      </c>
      <c r="Y24">
        <f>HYPERLINK("https://klasma.github.io/Logging_1266/kartor_geotiff/A 113-2023 georefererad karta.tif", "A 113-2023")</f>
        <v/>
      </c>
      <c r="AA24">
        <f>HYPERLINK("https://klasma.github.io/Logging_1266/klagomål/A 113-2023 FSC-klagomål.docx", "A 113-2023")</f>
        <v/>
      </c>
      <c r="AB24">
        <f>HYPERLINK("https://klasma.github.io/Logging_1266/klagomålsmail/A 113-2023 FSC-klagomål mail.docx", "A 113-2023")</f>
        <v/>
      </c>
      <c r="AC24">
        <f>HYPERLINK("https://klasma.github.io/Logging_1266/tillsyn/A 113-2023 tillsynsbegäran.docx", "A 113-2023")</f>
        <v/>
      </c>
      <c r="AD24">
        <f>HYPERLINK("https://klasma.github.io/Logging_1266/tillsynsmail/A 113-2023 tillsynsbegäran mail.docx", "A 113-2023")</f>
        <v/>
      </c>
    </row>
    <row r="25" ht="15" customHeight="1">
      <c r="A25" t="inlineStr">
        <is>
          <t>A 25833-2024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46289</v>
      </c>
      <c r="F25" t="inlineStr">
        <is>
          <t>SKÅNE LÄN</t>
        </is>
      </c>
      <c r="G25" t="inlineStr">
        <is>
          <t>HÖRBY</t>
        </is>
      </c>
      <c r="I25" t="n">
        <v>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HYPERLINK("https://klasma.github.io/Logging_1266/artfynd/A 25833-2024 artfynd.xlsx", "A 25833-2024")</f>
        <v/>
      </c>
      <c r="X25">
        <f>HYPERLINK("https://klasma.github.io/Logging_1266/kartor/A 25833-2024 karta.png", "A 25833-2024")</f>
        <v/>
      </c>
      <c r="Y25">
        <f>HYPERLINK("https://klasma.github.io/Logging_1266/kartor_geotiff/A 25833-2024 georefererad karta.tif", "A 25833-2024")</f>
        <v/>
      </c>
      <c r="AA25">
        <f>HYPERLINK("https://klasma.github.io/Logging_1266/klagomål/A 25833-2024 FSC-klagomål.docx", "A 25833-2024")</f>
        <v/>
      </c>
      <c r="AB25">
        <f>HYPERLINK("https://klasma.github.io/Logging_1266/klagomålsmail/A 25833-2024 FSC-klagomål mail.docx", "A 25833-2024")</f>
        <v/>
      </c>
      <c r="AC25">
        <f>HYPERLINK("https://klasma.github.io/Logging_1266/tillsyn/A 25833-2024 tillsynsbegäran.docx", "A 25833-2024")</f>
        <v/>
      </c>
      <c r="AD25">
        <f>HYPERLINK("https://klasma.github.io/Logging_1266/tillsynsmail/A 25833-2024 tillsynsbegäran mail.docx", "A 25833-2024")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46289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46289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46289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46289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29129-2026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46289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10.5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Ekticka</t>
        </is>
      </c>
      <c r="W30">
        <f>HYPERLINK("https://klasma.github.io/Logging_1266/artfynd/A 29129-2026 artfynd.xlsx", "A 29129-2026")</f>
        <v/>
      </c>
      <c r="X30">
        <f>HYPERLINK("https://klasma.github.io/Logging_1266/kartor/A 29129-2026 karta.png", "A 29129-2026")</f>
        <v/>
      </c>
      <c r="Y30">
        <f>HYPERLINK("https://klasma.github.io/Logging_1266/kartor_geotiff/A 29129-2026 georefererad karta.tif", "A 29129-2026")</f>
        <v/>
      </c>
      <c r="AA30">
        <f>HYPERLINK("https://klasma.github.io/Logging_1266/klagomål/A 29129-2026 FSC-klagomål.docx", "A 29129-2026")</f>
        <v/>
      </c>
      <c r="AB30">
        <f>HYPERLINK("https://klasma.github.io/Logging_1266/klagomålsmail/A 29129-2026 FSC-klagomål mail.docx", "A 29129-2026")</f>
        <v/>
      </c>
      <c r="AC30">
        <f>HYPERLINK("https://klasma.github.io/Logging_1266/tillsyn/A 29129-2026 tillsynsbegäran.docx", "A 29129-2026")</f>
        <v/>
      </c>
      <c r="AD30">
        <f>HYPERLINK("https://klasma.github.io/Logging_1266/tillsynsmail/A 29129-2026 tillsynsbegäran mail.docx", "A 29129-2026")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46289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21713-2025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45783</v>
      </c>
      <c r="E32" s="1" t="n">
        <v>46289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HYPERLINK("https://klasma.github.io/Logging_1266/artfynd/A 21713-2025 artfynd.xlsx", "A 21713-2025")</f>
        <v/>
      </c>
      <c r="X32">
        <f>HYPERLINK("https://klasma.github.io/Logging_1266/kartor/A 21713-2025 karta.png", "A 21713-2025")</f>
        <v/>
      </c>
      <c r="Y32">
        <f>HYPERLINK("https://klasma.github.io/Logging_1266/kartor_geotiff/A 21713-2025 georefererad karta.tif", "A 21713-2025")</f>
        <v/>
      </c>
      <c r="AA32">
        <f>HYPERLINK("https://klasma.github.io/Logging_1266/klagomål/A 21713-2025 FSC-klagomål.docx", "A 21713-2025")</f>
        <v/>
      </c>
      <c r="AB32">
        <f>HYPERLINK("https://klasma.github.io/Logging_1266/klagomålsmail/A 21713-2025 FSC-klagomål mail.docx", "A 21713-2025")</f>
        <v/>
      </c>
      <c r="AC32">
        <f>HYPERLINK("https://klasma.github.io/Logging_1266/tillsyn/A 21713-2025 tillsynsbegäran.docx", "A 21713-2025")</f>
        <v/>
      </c>
      <c r="AD32">
        <f>HYPERLINK("https://klasma.github.io/Logging_1266/tillsynsmail/A 21713-2025 tillsynsbegäran mail.docx", "A 21713-2025")</f>
        <v/>
      </c>
    </row>
    <row r="33" ht="15" customHeight="1">
      <c r="A33" t="inlineStr">
        <is>
          <t>A 24823-2026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46289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Tandrot</t>
        </is>
      </c>
      <c r="W33">
        <f>HYPERLINK("https://klasma.github.io/Logging_1266/artfynd/A 24823-2026 artfynd.xlsx", "A 24823-2026")</f>
        <v/>
      </c>
      <c r="X33">
        <f>HYPERLINK("https://klasma.github.io/Logging_1266/kartor/A 24823-2026 karta.png", "A 24823-2026")</f>
        <v/>
      </c>
      <c r="Y33">
        <f>HYPERLINK("https://klasma.github.io/Logging_1266/kartor_geotiff/A 24823-2026 georefererad karta.tif", "A 24823-2026")</f>
        <v/>
      </c>
      <c r="AA33">
        <f>HYPERLINK("https://klasma.github.io/Logging_1266/klagomål/A 24823-2026 FSC-klagomål.docx", "A 24823-2026")</f>
        <v/>
      </c>
      <c r="AB33">
        <f>HYPERLINK("https://klasma.github.io/Logging_1266/klagomålsmail/A 24823-2026 FSC-klagomål mail.docx", "A 24823-2026")</f>
        <v/>
      </c>
      <c r="AC33">
        <f>HYPERLINK("https://klasma.github.io/Logging_1266/tillsyn/A 24823-2026 tillsynsbegäran.docx", "A 24823-2026")</f>
        <v/>
      </c>
      <c r="AD33">
        <f>HYPERLINK("https://klasma.github.io/Logging_1266/tillsynsmail/A 24823-2026 tillsynsbegäran mail.docx", "A 24823-2026")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46289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16519-2026 artfynd.xlsx", "A 16519-2026")</f>
        <v/>
      </c>
      <c r="X34">
        <f>HYPERLINK("https://klasma.github.io/Logging_1266/kartor/A 16519-2026 karta.png", "A 16519-2026")</f>
        <v/>
      </c>
      <c r="Y34">
        <f>HYPERLINK("https://klasma.github.io/Logging_1266/kartor_geotiff/A 16519-2026 georefererad karta.tif", "A 16519-2026")</f>
        <v/>
      </c>
      <c r="AA34">
        <f>HYPERLINK("https://klasma.github.io/Logging_1266/klagomål/A 16519-2026 FSC-klagomål.docx", "A 16519-2026")</f>
        <v/>
      </c>
      <c r="AB34">
        <f>HYPERLINK("https://klasma.github.io/Logging_1266/klagomålsmail/A 16519-2026 FSC-klagomål mail.docx", "A 16519-2026")</f>
        <v/>
      </c>
      <c r="AC34">
        <f>HYPERLINK("https://klasma.github.io/Logging_1266/tillsyn/A 16519-2026 tillsynsbegäran.docx", "A 16519-2026")</f>
        <v/>
      </c>
      <c r="AD34">
        <f>HYPERLINK("https://klasma.github.io/Logging_1266/tillsynsmail/A 16519-2026 tillsynsbegäran mail.docx", "A 16519-2026")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46289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HYPERLINK("https://klasma.github.io/Logging_1266/artfynd/A 31284-2026 artfynd.xlsx", "A 31284-2026")</f>
        <v/>
      </c>
      <c r="X35">
        <f>HYPERLINK("https://klasma.github.io/Logging_1266/kartor/A 31284-2026 karta.png", "A 31284-2026")</f>
        <v/>
      </c>
      <c r="Y35">
        <f>HYPERLINK("https://klasma.github.io/Logging_1266/kartor_geotiff/A 31284-2026 georefererad karta.tif", "A 31284-2026")</f>
        <v/>
      </c>
      <c r="AA35">
        <f>HYPERLINK("https://klasma.github.io/Logging_1266/klagomål/A 31284-2026 FSC-klagomål.docx", "A 31284-2026")</f>
        <v/>
      </c>
      <c r="AB35">
        <f>HYPERLINK("https://klasma.github.io/Logging_1266/klagomålsmail/A 31284-2026 FSC-klagomål mail.docx", "A 31284-2026")</f>
        <v/>
      </c>
      <c r="AC35">
        <f>HYPERLINK("https://klasma.github.io/Logging_1266/tillsyn/A 31284-2026 tillsynsbegäran.docx", "A 31284-2026")</f>
        <v/>
      </c>
      <c r="AD35">
        <f>HYPERLINK("https://klasma.github.io/Logging_1266/tillsynsmail/A 31284-2026 tillsynsbegäran mail.docx", "A 31284-2026")</f>
        <v/>
      </c>
    </row>
    <row r="36" ht="15" customHeight="1">
      <c r="A36" t="inlineStr">
        <is>
          <t>A 30165-2026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46206</v>
      </c>
      <c r="E36" s="1" t="n">
        <v>46289</v>
      </c>
      <c r="F36" t="inlineStr">
        <is>
          <t>SKÅNE LÄN</t>
        </is>
      </c>
      <c r="G36" t="inlineStr">
        <is>
          <t>HÖRBY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HYPERLINK("https://klasma.github.io/Logging_1266/artfynd/A 30165-2026 artfynd.xlsx", "A 30165-2026")</f>
        <v/>
      </c>
      <c r="X36">
        <f>HYPERLINK("https://klasma.github.io/Logging_1266/kartor/A 30165-2026 karta.png", "A 30165-2026")</f>
        <v/>
      </c>
      <c r="Y36">
        <f>HYPERLINK("https://klasma.github.io/Logging_1266/kartor_geotiff/A 30165-2026 georefererad karta.tif", "A 30165-2026")</f>
        <v/>
      </c>
      <c r="AA36">
        <f>HYPERLINK("https://klasma.github.io/Logging_1266/klagomål/A 30165-2026 FSC-klagomål.docx", "A 30165-2026")</f>
        <v/>
      </c>
      <c r="AB36">
        <f>HYPERLINK("https://klasma.github.io/Logging_1266/klagomålsmail/A 30165-2026 FSC-klagomål mail.docx", "A 30165-2026")</f>
        <v/>
      </c>
      <c r="AC36">
        <f>HYPERLINK("https://klasma.github.io/Logging_1266/tillsyn/A 30165-2026 tillsynsbegäran.docx", "A 30165-2026")</f>
        <v/>
      </c>
      <c r="AD36">
        <f>HYPERLINK("https://klasma.github.io/Logging_1266/tillsynsmail/A 30165-2026 tillsynsbegäran mail.docx", "A 30165-2026")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46289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46289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46289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46289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46289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2816-2025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45677</v>
      </c>
      <c r="E48" s="1" t="n">
        <v>46289</v>
      </c>
      <c r="F48" t="inlineStr">
        <is>
          <t>SKÅNE LÄN</t>
        </is>
      </c>
      <c r="G48" t="inlineStr">
        <is>
          <t>HÖRBY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45750</v>
      </c>
      <c r="E49" s="1" t="n">
        <v>46289</v>
      </c>
      <c r="F49" t="inlineStr">
        <is>
          <t>SKÅNE LÄN</t>
        </is>
      </c>
      <c r="G49" t="inlineStr">
        <is>
          <t>HÖRBY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46289</v>
      </c>
      <c r="F50" t="inlineStr">
        <is>
          <t>SKÅNE LÄN</t>
        </is>
      </c>
      <c r="G50" t="inlineStr">
        <is>
          <t>HÖRBY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34422-2024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45525</v>
      </c>
      <c r="E51" s="1" t="n">
        <v>46289</v>
      </c>
      <c r="F51" t="inlineStr">
        <is>
          <t>SKÅNE LÄN</t>
        </is>
      </c>
      <c r="G51" t="inlineStr">
        <is>
          <t>HÖRBY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45728</v>
      </c>
      <c r="E52" s="1" t="n">
        <v>46289</v>
      </c>
      <c r="F52" t="inlineStr">
        <is>
          <t>SKÅNE LÄN</t>
        </is>
      </c>
      <c r="G52" t="inlineStr">
        <is>
          <t>HÖRBY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46289</v>
      </c>
      <c r="F53" t="inlineStr">
        <is>
          <t>SKÅNE LÄN</t>
        </is>
      </c>
      <c r="G53" t="inlineStr">
        <is>
          <t>HÖRBY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46289</v>
      </c>
      <c r="F54" t="inlineStr">
        <is>
          <t>SKÅNE LÄN</t>
        </is>
      </c>
      <c r="G54" t="inlineStr">
        <is>
          <t>HÖRBY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46289</v>
      </c>
      <c r="F55" t="inlineStr">
        <is>
          <t>SKÅNE LÄN</t>
        </is>
      </c>
      <c r="G55" t="inlineStr">
        <is>
          <t>HÖRBY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46289</v>
      </c>
      <c r="F56" t="inlineStr">
        <is>
          <t>SKÅNE LÄN</t>
        </is>
      </c>
      <c r="G56" t="inlineStr">
        <is>
          <t>HÖRBY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45680</v>
      </c>
      <c r="E57" s="1" t="n">
        <v>46289</v>
      </c>
      <c r="F57" t="inlineStr">
        <is>
          <t>SKÅNE LÄN</t>
        </is>
      </c>
      <c r="G57" t="inlineStr">
        <is>
          <t>HÖRBY</t>
        </is>
      </c>
      <c r="H57" t="inlineStr">
        <is>
          <t>Kyrkan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46289</v>
      </c>
      <c r="F58" t="inlineStr">
        <is>
          <t>SKÅNE LÄN</t>
        </is>
      </c>
      <c r="G58" t="inlineStr">
        <is>
          <t>HÖRBY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43380-2022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46289</v>
      </c>
      <c r="F59" t="inlineStr">
        <is>
          <t>SKÅNE LÄN</t>
        </is>
      </c>
      <c r="G59" t="inlineStr">
        <is>
          <t>HÖRBY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46289</v>
      </c>
      <c r="F60" t="inlineStr">
        <is>
          <t>SKÅNE LÄN</t>
        </is>
      </c>
      <c r="G60" t="inlineStr">
        <is>
          <t>HÖRBY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45203</v>
      </c>
      <c r="E61" s="1" t="n">
        <v>46289</v>
      </c>
      <c r="F61" t="inlineStr">
        <is>
          <t>SKÅNE LÄN</t>
        </is>
      </c>
      <c r="G61" t="inlineStr">
        <is>
          <t>HÖRBY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45043</v>
      </c>
      <c r="E62" s="1" t="n">
        <v>46289</v>
      </c>
      <c r="F62" t="inlineStr">
        <is>
          <t>SKÅNE LÄN</t>
        </is>
      </c>
      <c r="G62" t="inlineStr">
        <is>
          <t>HÖRBY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46289</v>
      </c>
      <c r="F63" t="inlineStr">
        <is>
          <t>SKÅNE LÄN</t>
        </is>
      </c>
      <c r="G63" t="inlineStr">
        <is>
          <t>HÖRBY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45405</v>
      </c>
      <c r="E64" s="1" t="n">
        <v>46289</v>
      </c>
      <c r="F64" t="inlineStr">
        <is>
          <t>SKÅNE LÄN</t>
        </is>
      </c>
      <c r="G64" t="inlineStr">
        <is>
          <t>HÖRBY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46289</v>
      </c>
      <c r="F65" t="inlineStr">
        <is>
          <t>SKÅNE LÄN</t>
        </is>
      </c>
      <c r="G65" t="inlineStr">
        <is>
          <t>HÖRBY</t>
        </is>
      </c>
      <c r="H65" t="inlineStr">
        <is>
          <t>Kyrkan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46289</v>
      </c>
      <c r="F66" t="inlineStr">
        <is>
          <t>SKÅNE LÄN</t>
        </is>
      </c>
      <c r="G66" t="inlineStr">
        <is>
          <t>HÖRBY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36840-2024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46289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46289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46289</v>
      </c>
      <c r="F69" t="inlineStr">
        <is>
          <t>SKÅNE LÄN</t>
        </is>
      </c>
      <c r="G69" t="inlineStr">
        <is>
          <t>HÖRBY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46289</v>
      </c>
      <c r="F70" t="inlineStr">
        <is>
          <t>SKÅNE LÄN</t>
        </is>
      </c>
      <c r="G70" t="inlineStr">
        <is>
          <t>HÖRBY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46289</v>
      </c>
      <c r="F71" t="inlineStr">
        <is>
          <t>SKÅNE LÄN</t>
        </is>
      </c>
      <c r="G71" t="inlineStr">
        <is>
          <t>HÖRBY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44894</v>
      </c>
      <c r="E72" s="1" t="n">
        <v>46289</v>
      </c>
      <c r="F72" t="inlineStr">
        <is>
          <t>SKÅNE LÄN</t>
        </is>
      </c>
      <c r="G72" t="inlineStr">
        <is>
          <t>HÖRBY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46289</v>
      </c>
      <c r="F73" t="inlineStr">
        <is>
          <t>SKÅNE LÄN</t>
        </is>
      </c>
      <c r="G73" t="inlineStr">
        <is>
          <t>HÖRBY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45128</v>
      </c>
      <c r="E74" s="1" t="n">
        <v>46289</v>
      </c>
      <c r="F74" t="inlineStr">
        <is>
          <t>SKÅNE LÄN</t>
        </is>
      </c>
      <c r="G74" t="inlineStr">
        <is>
          <t>HÖRBY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46289</v>
      </c>
      <c r="F75" t="inlineStr">
        <is>
          <t>SKÅNE LÄN</t>
        </is>
      </c>
      <c r="G75" t="inlineStr">
        <is>
          <t>HÖRBY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54894-2023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46289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36689-2024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46289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46289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45391</v>
      </c>
      <c r="E79" s="1" t="n">
        <v>46289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46289</v>
      </c>
      <c r="F80" t="inlineStr">
        <is>
          <t>SKÅNE LÄN</t>
        </is>
      </c>
      <c r="G80" t="inlineStr">
        <is>
          <t>HÖRBY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37082-2023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45155</v>
      </c>
      <c r="E81" s="1" t="n">
        <v>46289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43711-2024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45569</v>
      </c>
      <c r="E82" s="1" t="n">
        <v>46289</v>
      </c>
      <c r="F82" t="inlineStr">
        <is>
          <t>SKÅNE LÄN</t>
        </is>
      </c>
      <c r="G82" t="inlineStr">
        <is>
          <t>HÖRBY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46289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44944</v>
      </c>
      <c r="E84" s="1" t="n">
        <v>46289</v>
      </c>
      <c r="F84" t="inlineStr">
        <is>
          <t>SKÅNE LÄN</t>
        </is>
      </c>
      <c r="G84" t="inlineStr">
        <is>
          <t>HÖRBY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45342</v>
      </c>
      <c r="E85" s="1" t="n">
        <v>46289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46289</v>
      </c>
      <c r="F86" t="inlineStr">
        <is>
          <t>SKÅNE LÄN</t>
        </is>
      </c>
      <c r="G86" t="inlineStr">
        <is>
          <t>HÖRBY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28785-2023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45104</v>
      </c>
      <c r="E87" s="1" t="n">
        <v>46289</v>
      </c>
      <c r="F87" t="inlineStr">
        <is>
          <t>SKÅNE LÄN</t>
        </is>
      </c>
      <c r="G87" t="inlineStr">
        <is>
          <t>HÖRBY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46289</v>
      </c>
      <c r="F88" t="inlineStr">
        <is>
          <t>SKÅNE LÄN</t>
        </is>
      </c>
      <c r="G88" t="inlineStr">
        <is>
          <t>HÖRBY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46289</v>
      </c>
      <c r="F89" t="inlineStr">
        <is>
          <t>SKÅNE LÄN</t>
        </is>
      </c>
      <c r="G89" t="inlineStr">
        <is>
          <t>HÖRBY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46289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46289</v>
      </c>
      <c r="F91" t="inlineStr">
        <is>
          <t>SKÅNE LÄN</t>
        </is>
      </c>
      <c r="G91" t="inlineStr">
        <is>
          <t>HÖRBY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45034</v>
      </c>
      <c r="E92" s="1" t="n">
        <v>46289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46289</v>
      </c>
      <c r="F93" t="inlineStr">
        <is>
          <t>SKÅNE LÄN</t>
        </is>
      </c>
      <c r="G93" t="inlineStr">
        <is>
          <t>HÖRBY</t>
        </is>
      </c>
      <c r="H93" t="inlineStr">
        <is>
          <t>Kyrkan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45405</v>
      </c>
      <c r="E94" s="1" t="n">
        <v>46289</v>
      </c>
      <c r="F94" t="inlineStr">
        <is>
          <t>SKÅNE LÄN</t>
        </is>
      </c>
      <c r="G94" t="inlineStr">
        <is>
          <t>HÖRBY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46289</v>
      </c>
      <c r="F95" t="inlineStr">
        <is>
          <t>SKÅNE LÄN</t>
        </is>
      </c>
      <c r="G95" t="inlineStr">
        <is>
          <t>HÖRBY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31596-2023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46289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46289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46289</v>
      </c>
      <c r="F98" t="inlineStr">
        <is>
          <t>SKÅNE LÄN</t>
        </is>
      </c>
      <c r="G98" t="inlineStr">
        <is>
          <t>HÖRBY</t>
        </is>
      </c>
      <c r="I98" t="n">
        <v>18.7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45616</v>
      </c>
      <c r="E99" s="1" t="n">
        <v>46289</v>
      </c>
      <c r="F99" t="inlineStr">
        <is>
          <t>SKÅNE LÄN</t>
        </is>
      </c>
      <c r="G99" t="inlineStr">
        <is>
          <t>HÖRBY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46289</v>
      </c>
      <c r="F100" t="inlineStr">
        <is>
          <t>SKÅNE LÄN</t>
        </is>
      </c>
      <c r="G100" t="inlineStr">
        <is>
          <t>HÖRBY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46289</v>
      </c>
      <c r="F101" t="inlineStr">
        <is>
          <t>SKÅNE LÄN</t>
        </is>
      </c>
      <c r="G101" t="inlineStr">
        <is>
          <t>HÖRBY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46289</v>
      </c>
      <c r="F102" t="inlineStr">
        <is>
          <t>SKÅNE LÄN</t>
        </is>
      </c>
      <c r="G102" t="inlineStr">
        <is>
          <t>HÖRBY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46289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46289</v>
      </c>
      <c r="F104" t="inlineStr">
        <is>
          <t>SKÅNE LÄN</t>
        </is>
      </c>
      <c r="G104" t="inlineStr">
        <is>
          <t>HÖRBY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46289</v>
      </c>
      <c r="F105" t="inlineStr">
        <is>
          <t>SKÅNE LÄN</t>
        </is>
      </c>
      <c r="G105" t="inlineStr">
        <is>
          <t>HÖRBY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51757-2025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45951</v>
      </c>
      <c r="E106" s="1" t="n">
        <v>46289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46289</v>
      </c>
      <c r="F107" t="inlineStr">
        <is>
          <t>SKÅNE LÄN</t>
        </is>
      </c>
      <c r="G107" t="inlineStr">
        <is>
          <t>HÖRBY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45316</v>
      </c>
      <c r="E108" s="1" t="n">
        <v>46289</v>
      </c>
      <c r="F108" t="inlineStr">
        <is>
          <t>SKÅNE LÄN</t>
        </is>
      </c>
      <c r="G108" t="inlineStr">
        <is>
          <t>HÖRBY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46289</v>
      </c>
      <c r="F109" t="inlineStr">
        <is>
          <t>SKÅNE LÄN</t>
        </is>
      </c>
      <c r="G109" t="inlineStr">
        <is>
          <t>HÖRBY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45190</v>
      </c>
      <c r="E110" s="1" t="n">
        <v>46289</v>
      </c>
      <c r="F110" t="inlineStr">
        <is>
          <t>SKÅNE LÄN</t>
        </is>
      </c>
      <c r="G110" t="inlineStr">
        <is>
          <t>HÖRBY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46289</v>
      </c>
      <c r="F111" t="inlineStr">
        <is>
          <t>SKÅNE LÄN</t>
        </is>
      </c>
      <c r="G111" t="inlineStr">
        <is>
          <t>HÖRBY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46289</v>
      </c>
      <c r="F112" t="inlineStr">
        <is>
          <t>SKÅNE LÄN</t>
        </is>
      </c>
      <c r="G112" t="inlineStr">
        <is>
          <t>HÖRBY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46289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46289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46289</v>
      </c>
      <c r="F115" t="inlineStr">
        <is>
          <t>SKÅNE LÄN</t>
        </is>
      </c>
      <c r="G115" t="inlineStr">
        <is>
          <t>HÖRBY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46289</v>
      </c>
      <c r="F116" t="inlineStr">
        <is>
          <t>SKÅNE LÄN</t>
        </is>
      </c>
      <c r="G116" t="inlineStr">
        <is>
          <t>HÖRBY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58641-2023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45251</v>
      </c>
      <c r="E117" s="1" t="n">
        <v>46289</v>
      </c>
      <c r="F117" t="inlineStr">
        <is>
          <t>SKÅNE LÄN</t>
        </is>
      </c>
      <c r="G117" t="inlineStr">
        <is>
          <t>HÖRBY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46289</v>
      </c>
      <c r="F118" t="inlineStr">
        <is>
          <t>SKÅNE LÄN</t>
        </is>
      </c>
      <c r="G118" t="inlineStr">
        <is>
          <t>HÖRBY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46289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45680</v>
      </c>
      <c r="E120" s="1" t="n">
        <v>46289</v>
      </c>
      <c r="F120" t="inlineStr">
        <is>
          <t>SKÅNE LÄN</t>
        </is>
      </c>
      <c r="G120" t="inlineStr">
        <is>
          <t>HÖRBY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46289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46289</v>
      </c>
      <c r="F122" t="inlineStr">
        <is>
          <t>SKÅNE LÄN</t>
        </is>
      </c>
      <c r="G122" t="inlineStr">
        <is>
          <t>HÖRBY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46289</v>
      </c>
      <c r="F123" t="inlineStr">
        <is>
          <t>SKÅNE LÄN</t>
        </is>
      </c>
      <c r="G123" t="inlineStr">
        <is>
          <t>HÖRBY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46289</v>
      </c>
      <c r="F124" t="inlineStr">
        <is>
          <t>SKÅNE LÄN</t>
        </is>
      </c>
      <c r="G124" t="inlineStr">
        <is>
          <t>HÖRBY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46289</v>
      </c>
      <c r="F125" t="inlineStr">
        <is>
          <t>SKÅNE LÄN</t>
        </is>
      </c>
      <c r="G125" t="inlineStr">
        <is>
          <t>HÖRBY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55304-2025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45970</v>
      </c>
      <c r="E126" s="1" t="n">
        <v>46289</v>
      </c>
      <c r="F126" t="inlineStr">
        <is>
          <t>SKÅNE LÄN</t>
        </is>
      </c>
      <c r="G126" t="inlineStr">
        <is>
          <t>HÖRBY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55306-2025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45970</v>
      </c>
      <c r="E127" s="1" t="n">
        <v>46289</v>
      </c>
      <c r="F127" t="inlineStr">
        <is>
          <t>SKÅNE LÄN</t>
        </is>
      </c>
      <c r="G127" t="inlineStr">
        <is>
          <t>HÖRBY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46289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45521</v>
      </c>
      <c r="E129" s="1" t="n">
        <v>46289</v>
      </c>
      <c r="F129" t="inlineStr">
        <is>
          <t>SKÅNE LÄN</t>
        </is>
      </c>
      <c r="G129" t="inlineStr">
        <is>
          <t>HÖRBY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46289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46289</v>
      </c>
      <c r="F131" t="inlineStr">
        <is>
          <t>SKÅNE LÄN</t>
        </is>
      </c>
      <c r="G131" t="inlineStr">
        <is>
          <t>HÖRBY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45979</v>
      </c>
      <c r="E132" s="1" t="n">
        <v>46289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46289</v>
      </c>
      <c r="F133" t="inlineStr">
        <is>
          <t>SKÅNE LÄN</t>
        </is>
      </c>
      <c r="G133" t="inlineStr">
        <is>
          <t>HÖRBY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46289</v>
      </c>
      <c r="F134" t="inlineStr">
        <is>
          <t>SKÅNE LÄN</t>
        </is>
      </c>
      <c r="G134" t="inlineStr">
        <is>
          <t>HÖRBY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46289</v>
      </c>
      <c r="F135" t="inlineStr">
        <is>
          <t>SKÅNE LÄN</t>
        </is>
      </c>
      <c r="G135" t="inlineStr">
        <is>
          <t>HÖRBY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45680</v>
      </c>
      <c r="E136" s="1" t="n">
        <v>46289</v>
      </c>
      <c r="F136" t="inlineStr">
        <is>
          <t>SKÅNE LÄN</t>
        </is>
      </c>
      <c r="G136" t="inlineStr">
        <is>
          <t>HÖRBY</t>
        </is>
      </c>
      <c r="H136" t="inlineStr">
        <is>
          <t>Kyrkan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46289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46289</v>
      </c>
      <c r="F138" t="inlineStr">
        <is>
          <t>SKÅNE LÄN</t>
        </is>
      </c>
      <c r="G138" t="inlineStr">
        <is>
          <t>HÖRBY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45203</v>
      </c>
      <c r="E139" s="1" t="n">
        <v>46289</v>
      </c>
      <c r="F139" t="inlineStr">
        <is>
          <t>SKÅNE LÄN</t>
        </is>
      </c>
      <c r="G139" t="inlineStr">
        <is>
          <t>HÖRBY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46289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46289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46289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46289</v>
      </c>
      <c r="F143" t="inlineStr">
        <is>
          <t>SKÅNE LÄN</t>
        </is>
      </c>
      <c r="G143" t="inlineStr">
        <is>
          <t>HÖRBY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46289</v>
      </c>
      <c r="F144" t="inlineStr">
        <is>
          <t>SKÅNE LÄN</t>
        </is>
      </c>
      <c r="G144" t="inlineStr">
        <is>
          <t>HÖRBY</t>
        </is>
      </c>
      <c r="H144" t="inlineStr">
        <is>
          <t>Kyrkan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46289</v>
      </c>
      <c r="F145" t="inlineStr">
        <is>
          <t>SKÅNE LÄN</t>
        </is>
      </c>
      <c r="G145" t="inlineStr">
        <is>
          <t>HÖRBY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46289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46289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46289</v>
      </c>
      <c r="F148" t="inlineStr">
        <is>
          <t>SKÅNE LÄN</t>
        </is>
      </c>
      <c r="G148" t="inlineStr">
        <is>
          <t>HÖRBY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24670-2024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45460</v>
      </c>
      <c r="E149" s="1" t="n">
        <v>46289</v>
      </c>
      <c r="F149" t="inlineStr">
        <is>
          <t>SKÅNE LÄN</t>
        </is>
      </c>
      <c r="G149" t="inlineStr">
        <is>
          <t>HÖRBY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46289</v>
      </c>
      <c r="F150" t="inlineStr">
        <is>
          <t>SKÅNE LÄN</t>
        </is>
      </c>
      <c r="G150" t="inlineStr">
        <is>
          <t>HÖRBY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46289</v>
      </c>
      <c r="F151" t="inlineStr">
        <is>
          <t>SKÅNE LÄN</t>
        </is>
      </c>
      <c r="G151" t="inlineStr">
        <is>
          <t>HÖRBY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46289</v>
      </c>
      <c r="F152" t="inlineStr">
        <is>
          <t>SKÅNE LÄN</t>
        </is>
      </c>
      <c r="G152" t="inlineStr">
        <is>
          <t>HÖRBY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45502</v>
      </c>
      <c r="E153" s="1" t="n">
        <v>46289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46289</v>
      </c>
      <c r="F154" t="inlineStr">
        <is>
          <t>SKÅNE LÄN</t>
        </is>
      </c>
      <c r="G154" t="inlineStr">
        <is>
          <t>HÖRBY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46286</v>
      </c>
      <c r="E155" s="1" t="n">
        <v>46289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46286</v>
      </c>
      <c r="E156" s="1" t="n">
        <v>46289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46286</v>
      </c>
      <c r="E157" s="1" t="n">
        <v>46289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46274</v>
      </c>
      <c r="E158" s="1" t="n">
        <v>46289</v>
      </c>
      <c r="F158" t="inlineStr">
        <is>
          <t>SKÅNE LÄN</t>
        </is>
      </c>
      <c r="G158" t="inlineStr">
        <is>
          <t>HÖRBY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46289</v>
      </c>
      <c r="F159" t="inlineStr">
        <is>
          <t>SKÅNE LÄN</t>
        </is>
      </c>
      <c r="G159" t="inlineStr">
        <is>
          <t>HÖRBY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46289</v>
      </c>
      <c r="F160" t="inlineStr">
        <is>
          <t>SKÅNE LÄN</t>
        </is>
      </c>
      <c r="G160" t="inlineStr">
        <is>
          <t>HÖRBY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46289</v>
      </c>
      <c r="F161" t="inlineStr">
        <is>
          <t>SKÅNE LÄN</t>
        </is>
      </c>
      <c r="G161" t="inlineStr">
        <is>
          <t>HÖRBY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46289</v>
      </c>
      <c r="F162" t="inlineStr">
        <is>
          <t>SKÅNE LÄN</t>
        </is>
      </c>
      <c r="G162" t="inlineStr">
        <is>
          <t>HÖRBY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44814</v>
      </c>
      <c r="E163" s="1" t="n">
        <v>46289</v>
      </c>
      <c r="F163" t="inlineStr">
        <is>
          <t>SKÅNE LÄN</t>
        </is>
      </c>
      <c r="G163" t="inlineStr">
        <is>
          <t>HÖRBY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37757-2024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46289</v>
      </c>
      <c r="F164" t="inlineStr">
        <is>
          <t>SKÅNE LÄN</t>
        </is>
      </c>
      <c r="G164" t="inlineStr">
        <is>
          <t>HÖRBY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46286</v>
      </c>
      <c r="E165" s="1" t="n">
        <v>46289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46285</v>
      </c>
      <c r="E166" s="1" t="n">
        <v>46289</v>
      </c>
      <c r="F166" t="inlineStr">
        <is>
          <t>SKÅNE LÄN</t>
        </is>
      </c>
      <c r="G166" t="inlineStr">
        <is>
          <t>HÖRBY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45079</v>
      </c>
      <c r="E167" s="1" t="n">
        <v>46289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46289</v>
      </c>
      <c r="F168" t="inlineStr">
        <is>
          <t>SKÅNE LÄN</t>
        </is>
      </c>
      <c r="G168" t="inlineStr">
        <is>
          <t>HÖRBY</t>
        </is>
      </c>
      <c r="H168" t="inlineStr">
        <is>
          <t>Kyrkan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46289</v>
      </c>
      <c r="F169" t="inlineStr">
        <is>
          <t>SKÅNE LÄN</t>
        </is>
      </c>
      <c r="G169" t="inlineStr">
        <is>
          <t>HÖRBY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45540</v>
      </c>
      <c r="E170" s="1" t="n">
        <v>46289</v>
      </c>
      <c r="F170" t="inlineStr">
        <is>
          <t>SKÅNE LÄN</t>
        </is>
      </c>
      <c r="G170" t="inlineStr">
        <is>
          <t>HÖRBY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46289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46289</v>
      </c>
      <c r="F172" t="inlineStr">
        <is>
          <t>SKÅNE LÄN</t>
        </is>
      </c>
      <c r="G172" t="inlineStr">
        <is>
          <t>HÖRBY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46289</v>
      </c>
      <c r="F173" t="inlineStr">
        <is>
          <t>SKÅNE LÄN</t>
        </is>
      </c>
      <c r="G173" t="inlineStr">
        <is>
          <t>HÖRBY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44928</v>
      </c>
      <c r="E174" s="1" t="n">
        <v>46289</v>
      </c>
      <c r="F174" t="inlineStr">
        <is>
          <t>SKÅNE LÄN</t>
        </is>
      </c>
      <c r="G174" t="inlineStr">
        <is>
          <t>HÖRBY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43685-2022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44837</v>
      </c>
      <c r="E175" s="1" t="n">
        <v>46289</v>
      </c>
      <c r="F175" t="inlineStr">
        <is>
          <t>SKÅNE LÄN</t>
        </is>
      </c>
      <c r="G175" t="inlineStr">
        <is>
          <t>HÖRBY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24724-2024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45460</v>
      </c>
      <c r="E176" s="1" t="n">
        <v>46289</v>
      </c>
      <c r="F176" t="inlineStr">
        <is>
          <t>SKÅNE LÄN</t>
        </is>
      </c>
      <c r="G176" t="inlineStr">
        <is>
          <t>HÖRBY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46099</v>
      </c>
      <c r="E177" s="1" t="n">
        <v>46289</v>
      </c>
      <c r="F177" t="inlineStr">
        <is>
          <t>SKÅNE LÄN</t>
        </is>
      </c>
      <c r="G177" t="inlineStr">
        <is>
          <t>HÖRBY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46289</v>
      </c>
      <c r="F178" t="inlineStr">
        <is>
          <t>SKÅNE LÄN</t>
        </is>
      </c>
      <c r="G178" t="inlineStr">
        <is>
          <t>HÖRBY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46289</v>
      </c>
      <c r="F179" t="inlineStr">
        <is>
          <t>SKÅNE LÄN</t>
        </is>
      </c>
      <c r="G179" t="inlineStr">
        <is>
          <t>HÖRBY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6558-2025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45699</v>
      </c>
      <c r="E180" s="1" t="n">
        <v>46289</v>
      </c>
      <c r="F180" t="inlineStr">
        <is>
          <t>SKÅNE LÄN</t>
        </is>
      </c>
      <c r="G180" t="inlineStr">
        <is>
          <t>HÖRBY</t>
        </is>
      </c>
      <c r="H180" t="inlineStr">
        <is>
          <t>Kommuner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46072</v>
      </c>
      <c r="E181" s="1" t="n">
        <v>46289</v>
      </c>
      <c r="F181" t="inlineStr">
        <is>
          <t>SKÅNE LÄN</t>
        </is>
      </c>
      <c r="G181" t="inlineStr">
        <is>
          <t>HÖRBY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46289</v>
      </c>
      <c r="F182" t="inlineStr">
        <is>
          <t>SKÅNE LÄN</t>
        </is>
      </c>
      <c r="G182" t="inlineStr">
        <is>
          <t>HÖRBY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44944</v>
      </c>
      <c r="E183" s="1" t="n">
        <v>46289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46289</v>
      </c>
      <c r="F184" t="inlineStr">
        <is>
          <t>SKÅNE LÄN</t>
        </is>
      </c>
      <c r="G184" t="inlineStr">
        <is>
          <t>HÖRBY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45868</v>
      </c>
      <c r="E185" s="1" t="n">
        <v>46289</v>
      </c>
      <c r="F185" t="inlineStr">
        <is>
          <t>SKÅNE LÄN</t>
        </is>
      </c>
      <c r="G185" t="inlineStr">
        <is>
          <t>HÖRBY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46289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46289</v>
      </c>
      <c r="F187" t="inlineStr">
        <is>
          <t>SKÅNE LÄN</t>
        </is>
      </c>
      <c r="G187" t="inlineStr">
        <is>
          <t>HÖRBY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44946</v>
      </c>
      <c r="E188" s="1" t="n">
        <v>46289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46289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46289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46289</v>
      </c>
      <c r="F191" t="inlineStr">
        <is>
          <t>SKÅNE LÄN</t>
        </is>
      </c>
      <c r="G191" t="inlineStr">
        <is>
          <t>HÖRBY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46289</v>
      </c>
      <c r="F192" t="inlineStr">
        <is>
          <t>SKÅNE LÄN</t>
        </is>
      </c>
      <c r="G192" t="inlineStr">
        <is>
          <t>HÖRBY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45128</v>
      </c>
      <c r="E193" s="1" t="n">
        <v>46289</v>
      </c>
      <c r="F193" t="inlineStr">
        <is>
          <t>SKÅNE LÄN</t>
        </is>
      </c>
      <c r="G193" t="inlineStr">
        <is>
          <t>HÖRBY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46289</v>
      </c>
      <c r="F194" t="inlineStr">
        <is>
          <t>SKÅNE LÄN</t>
        </is>
      </c>
      <c r="G194" t="inlineStr">
        <is>
          <t>HÖRBY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45551</v>
      </c>
      <c r="E195" s="1" t="n">
        <v>46289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44833</v>
      </c>
      <c r="E196" s="1" t="n">
        <v>46289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46289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46289</v>
      </c>
      <c r="F198" t="inlineStr">
        <is>
          <t>SKÅNE LÄN</t>
        </is>
      </c>
      <c r="G198" t="inlineStr">
        <is>
          <t>HÖRBY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45882</v>
      </c>
      <c r="E199" s="1" t="n">
        <v>46289</v>
      </c>
      <c r="F199" t="inlineStr">
        <is>
          <t>SKÅNE LÄN</t>
        </is>
      </c>
      <c r="G199" t="inlineStr">
        <is>
          <t>HÖRBY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46289</v>
      </c>
      <c r="F200" t="inlineStr">
        <is>
          <t>SKÅNE LÄN</t>
        </is>
      </c>
      <c r="G200" t="inlineStr">
        <is>
          <t>HÖRBY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44693</v>
      </c>
      <c r="E201" s="1" t="n">
        <v>46289</v>
      </c>
      <c r="F201" t="inlineStr">
        <is>
          <t>SKÅNE LÄN</t>
        </is>
      </c>
      <c r="G201" t="inlineStr">
        <is>
          <t>HÖRBY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45287</v>
      </c>
      <c r="E202" s="1" t="n">
        <v>46289</v>
      </c>
      <c r="F202" t="inlineStr">
        <is>
          <t>SKÅNE LÄN</t>
        </is>
      </c>
      <c r="G202" t="inlineStr">
        <is>
          <t>HÖRBY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46289</v>
      </c>
      <c r="F203" t="inlineStr">
        <is>
          <t>SKÅNE LÄN</t>
        </is>
      </c>
      <c r="G203" t="inlineStr">
        <is>
          <t>HÖRBY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46289</v>
      </c>
      <c r="F204" t="inlineStr">
        <is>
          <t>SKÅNE LÄN</t>
        </is>
      </c>
      <c r="G204" t="inlineStr">
        <is>
          <t>HÖRBY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45224</v>
      </c>
      <c r="E205" s="1" t="n">
        <v>46289</v>
      </c>
      <c r="F205" t="inlineStr">
        <is>
          <t>SKÅNE LÄN</t>
        </is>
      </c>
      <c r="G205" t="inlineStr">
        <is>
          <t>HÖRBY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46289</v>
      </c>
      <c r="F206" t="inlineStr">
        <is>
          <t>SKÅNE LÄN</t>
        </is>
      </c>
      <c r="G206" t="inlineStr">
        <is>
          <t>HÖRBY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46289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46289</v>
      </c>
      <c r="F208" t="inlineStr">
        <is>
          <t>SKÅNE LÄN</t>
        </is>
      </c>
      <c r="G208" t="inlineStr">
        <is>
          <t>HÖRBY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45762</v>
      </c>
      <c r="E209" s="1" t="n">
        <v>46289</v>
      </c>
      <c r="F209" t="inlineStr">
        <is>
          <t>SKÅNE LÄN</t>
        </is>
      </c>
      <c r="G209" t="inlineStr">
        <is>
          <t>HÖRBY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3177-2026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46041</v>
      </c>
      <c r="E210" s="1" t="n">
        <v>46289</v>
      </c>
      <c r="F210" t="inlineStr">
        <is>
          <t>SKÅNE LÄN</t>
        </is>
      </c>
      <c r="G210" t="inlineStr">
        <is>
          <t>HÖRBY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46289</v>
      </c>
      <c r="F211" t="inlineStr">
        <is>
          <t>SKÅNE LÄN</t>
        </is>
      </c>
      <c r="G211" t="inlineStr">
        <is>
          <t>HÖRBY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46289</v>
      </c>
      <c r="F212" t="inlineStr">
        <is>
          <t>SKÅNE LÄN</t>
        </is>
      </c>
      <c r="G212" t="inlineStr">
        <is>
          <t>HÖRBY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46289</v>
      </c>
      <c r="F213" t="inlineStr">
        <is>
          <t>SKÅNE LÄN</t>
        </is>
      </c>
      <c r="G213" t="inlineStr">
        <is>
          <t>HÖRBY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29138-2026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46202</v>
      </c>
      <c r="E214" s="1" t="n">
        <v>46289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29135-2026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46202</v>
      </c>
      <c r="E215" s="1" t="n">
        <v>46289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29137-2026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46202</v>
      </c>
      <c r="E216" s="1" t="n">
        <v>46289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46289</v>
      </c>
      <c r="F217" t="inlineStr">
        <is>
          <t>SKÅNE LÄN</t>
        </is>
      </c>
      <c r="G217" t="inlineStr">
        <is>
          <t>HÖRBY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46289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46289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46289</v>
      </c>
      <c r="F220" t="inlineStr">
        <is>
          <t>SKÅNE LÄN</t>
        </is>
      </c>
      <c r="G220" t="inlineStr">
        <is>
          <t>HÖRBY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23606-2026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46162</v>
      </c>
      <c r="E221" s="1" t="n">
        <v>46289</v>
      </c>
      <c r="F221" t="inlineStr">
        <is>
          <t>SKÅNE LÄN</t>
        </is>
      </c>
      <c r="G221" t="inlineStr">
        <is>
          <t>HÖRBY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46218</v>
      </c>
      <c r="E222" s="1" t="n">
        <v>46289</v>
      </c>
      <c r="F222" t="inlineStr">
        <is>
          <t>SKÅNE LÄN</t>
        </is>
      </c>
      <c r="G222" t="inlineStr">
        <is>
          <t>HÖRBY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55307-2025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45970</v>
      </c>
      <c r="E223" s="1" t="n">
        <v>46289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46289</v>
      </c>
      <c r="F224" t="inlineStr">
        <is>
          <t>SKÅNE LÄN</t>
        </is>
      </c>
      <c r="G224" t="inlineStr">
        <is>
          <t>HÖRBY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46280</v>
      </c>
      <c r="E225" s="1" t="n">
        <v>46289</v>
      </c>
      <c r="F225" t="inlineStr">
        <is>
          <t>SKÅNE LÄN</t>
        </is>
      </c>
      <c r="G225" t="inlineStr">
        <is>
          <t>HÖRBY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46289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46289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46289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46289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46289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46289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46289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46289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2026-09-24T01:54:32Z</dcterms:created>
  <dcterms:modified xmlns:dcterms="http://purl.org/dc/terms/" xmlns:xsi="http://www.w3.org/2001/XMLSchema-instance" xsi:type="dcterms:W3CDTF">2026-09-24T01:54:32Z</dcterms:modified>
</cp:coreProperties>
</file>