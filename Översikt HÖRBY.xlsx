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46185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46185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20193-2024</t>
        </is>
      </c>
      <c r="B5" s="1" t="n">
        <v>45434</v>
      </c>
      <c r="C5" s="1" t="n">
        <v>46185</v>
      </c>
      <c r="D5" t="inlineStr">
        <is>
          <t>SKÅNE LÄN</t>
        </is>
      </c>
      <c r="E5" t="inlineStr">
        <is>
          <t>HÖRBY</t>
        </is>
      </c>
      <c r="G5" t="n">
        <v>11.2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Strutbräken
Vätteros
Vårärt</t>
        </is>
      </c>
      <c r="S5">
        <f>HYPERLINK("https://klasma.github.io/Logging_1266/artfynd/A 20193-2024 artfynd.xlsx", "A 20193-2024")</f>
        <v/>
      </c>
      <c r="T5">
        <f>HYPERLINK("https://klasma.github.io/Logging_1266/kartor/A 20193-2024 karta.png", "A 20193-2024")</f>
        <v/>
      </c>
      <c r="V5">
        <f>HYPERLINK("https://klasma.github.io/Logging_1266/klagomål/A 20193-2024 FSC-klagomål.docx", "A 20193-2024")</f>
        <v/>
      </c>
      <c r="W5">
        <f>HYPERLINK("https://klasma.github.io/Logging_1266/klagomålsmail/A 20193-2024 FSC-klagomål mail.docx", "A 20193-2024")</f>
        <v/>
      </c>
      <c r="X5">
        <f>HYPERLINK("https://klasma.github.io/Logging_1266/tillsyn/A 20193-2024 tillsynsbegäran.docx", "A 20193-2024")</f>
        <v/>
      </c>
      <c r="Y5">
        <f>HYPERLINK("https://klasma.github.io/Logging_1266/tillsynsmail/A 20193-2024 tillsynsbegäran mail.docx", "A 20193-2024")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46185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46185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46185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46185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46185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20313-2026</t>
        </is>
      </c>
      <c r="B11" s="1" t="n">
        <v>46139</v>
      </c>
      <c r="C11" s="1" t="n">
        <v>46185</v>
      </c>
      <c r="D11" t="inlineStr">
        <is>
          <t>SKÅNE LÄN</t>
        </is>
      </c>
      <c r="E11" t="inlineStr">
        <is>
          <t>HÖRBY</t>
        </is>
      </c>
      <c r="G11" t="n">
        <v>9.800000000000001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Skogsalm
Mindre hackspett
Spillkråka</t>
        </is>
      </c>
      <c r="S11">
        <f>HYPERLINK("https://klasma.github.io/Logging_1266/artfynd/A 20313-2026 artfynd.xlsx", "A 20313-2026")</f>
        <v/>
      </c>
      <c r="T11">
        <f>HYPERLINK("https://klasma.github.io/Logging_1266/kartor/A 20313-2026 karta.png", "A 20313-2026")</f>
        <v/>
      </c>
      <c r="V11">
        <f>HYPERLINK("https://klasma.github.io/Logging_1266/klagomål/A 20313-2026 FSC-klagomål.docx", "A 20313-2026")</f>
        <v/>
      </c>
      <c r="W11">
        <f>HYPERLINK("https://klasma.github.io/Logging_1266/klagomålsmail/A 20313-2026 FSC-klagomål mail.docx", "A 20313-2026")</f>
        <v/>
      </c>
      <c r="X11">
        <f>HYPERLINK("https://klasma.github.io/Logging_1266/tillsyn/A 20313-2026 tillsynsbegäran.docx", "A 20313-2026")</f>
        <v/>
      </c>
      <c r="Y11">
        <f>HYPERLINK("https://klasma.github.io/Logging_1266/tillsynsmail/A 20313-2026 tillsynsbegäran mail.docx", "A 20313-2026")</f>
        <v/>
      </c>
      <c r="Z11">
        <f>HYPERLINK("https://klasma.github.io/Logging_1266/fåglar/A 20313-2026 prioriterade fågelarter.docx", "A 20313-2026")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46185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46185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46185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46185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46185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46185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63913-2021</t>
        </is>
      </c>
      <c r="B18" s="1" t="n">
        <v>44509</v>
      </c>
      <c r="C18" s="1" t="n">
        <v>46185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46185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64128-2021</t>
        </is>
      </c>
      <c r="B20" s="1" t="n">
        <v>44509</v>
      </c>
      <c r="C20" s="1" t="n">
        <v>46185</v>
      </c>
      <c r="D20" t="inlineStr">
        <is>
          <t>SKÅNE LÄN</t>
        </is>
      </c>
      <c r="E20" t="inlineStr">
        <is>
          <t>HÖRBY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19981-2022</t>
        </is>
      </c>
      <c r="B21" s="1" t="n">
        <v>44697</v>
      </c>
      <c r="C21" s="1" t="n">
        <v>46185</v>
      </c>
      <c r="D21" t="inlineStr">
        <is>
          <t>SKÅNE LÄN</t>
        </is>
      </c>
      <c r="E21" t="inlineStr">
        <is>
          <t>HÖRBY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42221-2021</t>
        </is>
      </c>
      <c r="B22" s="1" t="n">
        <v>44426</v>
      </c>
      <c r="C22" s="1" t="n">
        <v>46185</v>
      </c>
      <c r="D22" t="inlineStr">
        <is>
          <t>SKÅNE LÄN</t>
        </is>
      </c>
      <c r="E22" t="inlineStr">
        <is>
          <t>HÖRBY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34105-2021</t>
        </is>
      </c>
      <c r="B23" s="1" t="n">
        <v>44379</v>
      </c>
      <c r="C23" s="1" t="n">
        <v>46185</v>
      </c>
      <c r="D23" t="inlineStr">
        <is>
          <t>SKÅNE LÄN</t>
        </is>
      </c>
      <c r="E23" t="inlineStr">
        <is>
          <t>HÖRBY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64255-2021</t>
        </is>
      </c>
      <c r="B24" s="1" t="n">
        <v>44510.67604166667</v>
      </c>
      <c r="C24" s="1" t="n">
        <v>46185</v>
      </c>
      <c r="D24" t="inlineStr">
        <is>
          <t>SKÅNE LÄN</t>
        </is>
      </c>
      <c r="E24" t="inlineStr">
        <is>
          <t>HÖRBY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43389-2022</t>
        </is>
      </c>
      <c r="B25" s="1" t="n">
        <v>44834.66863425926</v>
      </c>
      <c r="C25" s="1" t="n">
        <v>46185</v>
      </c>
      <c r="D25" t="inlineStr">
        <is>
          <t>SKÅNE LÄN</t>
        </is>
      </c>
      <c r="E25" t="inlineStr">
        <is>
          <t>HÖRBY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31285-2022</t>
        </is>
      </c>
      <c r="B26" s="1" t="n">
        <v>44771.70138888889</v>
      </c>
      <c r="C26" s="1" t="n">
        <v>46185</v>
      </c>
      <c r="D26" t="inlineStr">
        <is>
          <t>SKÅNE LÄN</t>
        </is>
      </c>
      <c r="E26" t="inlineStr">
        <is>
          <t>HÖRBY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32543-2021</t>
        </is>
      </c>
      <c r="B27" s="1" t="n">
        <v>44374.93796296296</v>
      </c>
      <c r="C27" s="1" t="n">
        <v>46185</v>
      </c>
      <c r="D27" t="inlineStr">
        <is>
          <t>SKÅNE LÄN</t>
        </is>
      </c>
      <c r="E27" t="inlineStr">
        <is>
          <t>HÖRBY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34120-2021</t>
        </is>
      </c>
      <c r="B28" s="1" t="n">
        <v>44379</v>
      </c>
      <c r="C28" s="1" t="n">
        <v>46185</v>
      </c>
      <c r="D28" t="inlineStr">
        <is>
          <t>SKÅNE LÄN</t>
        </is>
      </c>
      <c r="E28" t="inlineStr">
        <is>
          <t>HÖRBY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52832-2021</t>
        </is>
      </c>
      <c r="B29" s="1" t="n">
        <v>44466</v>
      </c>
      <c r="C29" s="1" t="n">
        <v>46185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33571-2022</t>
        </is>
      </c>
      <c r="B30" s="1" t="n">
        <v>44789</v>
      </c>
      <c r="C30" s="1" t="n">
        <v>46185</v>
      </c>
      <c r="D30" t="inlineStr">
        <is>
          <t>SKÅNE LÄN</t>
        </is>
      </c>
      <c r="E30" t="inlineStr">
        <is>
          <t>HÖRBY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25850-2022</t>
        </is>
      </c>
      <c r="B31" s="1" t="n">
        <v>44733.60949074074</v>
      </c>
      <c r="C31" s="1" t="n">
        <v>46185</v>
      </c>
      <c r="D31" t="inlineStr">
        <is>
          <t>SKÅNE LÄN</t>
        </is>
      </c>
      <c r="E31" t="inlineStr">
        <is>
          <t>HÖRBY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43380-2022</t>
        </is>
      </c>
      <c r="B32" s="1" t="n">
        <v>44834.65802083333</v>
      </c>
      <c r="C32" s="1" t="n">
        <v>46185</v>
      </c>
      <c r="D32" t="inlineStr">
        <is>
          <t>SKÅNE LÄN</t>
        </is>
      </c>
      <c r="E32" t="inlineStr">
        <is>
          <t>HÖRBY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47609-2023</t>
        </is>
      </c>
      <c r="B33" s="1" t="n">
        <v>45203</v>
      </c>
      <c r="C33" s="1" t="n">
        <v>46185</v>
      </c>
      <c r="D33" t="inlineStr">
        <is>
          <t>SKÅNE LÄN</t>
        </is>
      </c>
      <c r="E33" t="inlineStr">
        <is>
          <t>HÖRBY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9974-2024</t>
        </is>
      </c>
      <c r="B34" s="1" t="n">
        <v>45363</v>
      </c>
      <c r="C34" s="1" t="n">
        <v>46185</v>
      </c>
      <c r="D34" t="inlineStr">
        <is>
          <t>SKÅNE LÄN</t>
        </is>
      </c>
      <c r="E34" t="inlineStr">
        <is>
          <t>HÖRBY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15970-2024</t>
        </is>
      </c>
      <c r="B35" s="1" t="n">
        <v>45405</v>
      </c>
      <c r="C35" s="1" t="n">
        <v>46185</v>
      </c>
      <c r="D35" t="inlineStr">
        <is>
          <t>SKÅNE LÄN</t>
        </is>
      </c>
      <c r="E35" t="inlineStr">
        <is>
          <t>HÖRBY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5163-2024</t>
        </is>
      </c>
      <c r="B36" s="1" t="n">
        <v>45330</v>
      </c>
      <c r="C36" s="1" t="n">
        <v>46185</v>
      </c>
      <c r="D36" t="inlineStr">
        <is>
          <t>SKÅNE LÄN</t>
        </is>
      </c>
      <c r="E36" t="inlineStr">
        <is>
          <t>HÖRBY</t>
        </is>
      </c>
      <c r="F36" t="inlineStr">
        <is>
          <t>Kyrkan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37724-2022</t>
        </is>
      </c>
      <c r="B37" s="1" t="n">
        <v>44810</v>
      </c>
      <c r="C37" s="1" t="n">
        <v>46185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37728-2022</t>
        </is>
      </c>
      <c r="B38" s="1" t="n">
        <v>44810.56689814815</v>
      </c>
      <c r="C38" s="1" t="n">
        <v>46185</v>
      </c>
      <c r="D38" t="inlineStr">
        <is>
          <t>SKÅNE LÄN</t>
        </is>
      </c>
      <c r="E38" t="inlineStr">
        <is>
          <t>HÖRBY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56818-2022</t>
        </is>
      </c>
      <c r="B39" s="1" t="n">
        <v>44894</v>
      </c>
      <c r="C39" s="1" t="n">
        <v>46185</v>
      </c>
      <c r="D39" t="inlineStr">
        <is>
          <t>SKÅNE LÄN</t>
        </is>
      </c>
      <c r="E39" t="inlineStr">
        <is>
          <t>HÖRBY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46185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54894-2023</t>
        </is>
      </c>
      <c r="B41" s="1" t="n">
        <v>45236.63965277778</v>
      </c>
      <c r="C41" s="1" t="n">
        <v>46185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36689-2024</t>
        </is>
      </c>
      <c r="B42" s="1" t="n">
        <v>45537</v>
      </c>
      <c r="C42" s="1" t="n">
        <v>46185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38080-2024</t>
        </is>
      </c>
      <c r="B43" s="1" t="n">
        <v>45545.31652777778</v>
      </c>
      <c r="C43" s="1" t="n">
        <v>46185</v>
      </c>
      <c r="D43" t="inlineStr">
        <is>
          <t>SKÅNE LÄN</t>
        </is>
      </c>
      <c r="E43" t="inlineStr">
        <is>
          <t>HÖRBY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28746-2024</t>
        </is>
      </c>
      <c r="B44" s="1" t="n">
        <v>45478</v>
      </c>
      <c r="C44" s="1" t="n">
        <v>46185</v>
      </c>
      <c r="D44" t="inlineStr">
        <is>
          <t>SKÅNE LÄN</t>
        </is>
      </c>
      <c r="E44" t="inlineStr">
        <is>
          <t>HÖRBY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43711-2024</t>
        </is>
      </c>
      <c r="B45" s="1" t="n">
        <v>45569</v>
      </c>
      <c r="C45" s="1" t="n">
        <v>46185</v>
      </c>
      <c r="D45" t="inlineStr">
        <is>
          <t>SKÅNE LÄN</t>
        </is>
      </c>
      <c r="E45" t="inlineStr">
        <is>
          <t>HÖRBY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37082-2023</t>
        </is>
      </c>
      <c r="B46" s="1" t="n">
        <v>45155</v>
      </c>
      <c r="C46" s="1" t="n">
        <v>46185</v>
      </c>
      <c r="D46" t="inlineStr">
        <is>
          <t>SKÅNE LÄN</t>
        </is>
      </c>
      <c r="E46" t="inlineStr">
        <is>
          <t>HÖRBY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23484-2025</t>
        </is>
      </c>
      <c r="B47" s="1" t="n">
        <v>45792</v>
      </c>
      <c r="C47" s="1" t="n">
        <v>46185</v>
      </c>
      <c r="D47" t="inlineStr">
        <is>
          <t>SKÅNE LÄN</t>
        </is>
      </c>
      <c r="E47" t="inlineStr">
        <is>
          <t>HÖRBY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2752-2023</t>
        </is>
      </c>
      <c r="B48" s="1" t="n">
        <v>44944</v>
      </c>
      <c r="C48" s="1" t="n">
        <v>46185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826-2026</t>
        </is>
      </c>
      <c r="B49" s="1" t="n">
        <v>46030.36222222223</v>
      </c>
      <c r="C49" s="1" t="n">
        <v>46185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829-2026</t>
        </is>
      </c>
      <c r="B50" s="1" t="n">
        <v>46030.36413194444</v>
      </c>
      <c r="C50" s="1" t="n">
        <v>46185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46185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821-2026</t>
        </is>
      </c>
      <c r="B52" s="1" t="n">
        <v>46030.35765046296</v>
      </c>
      <c r="C52" s="1" t="n">
        <v>46185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13225-2024</t>
        </is>
      </c>
      <c r="B53" s="1" t="n">
        <v>45386</v>
      </c>
      <c r="C53" s="1" t="n">
        <v>46185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13226-2024</t>
        </is>
      </c>
      <c r="B54" s="1" t="n">
        <v>45386</v>
      </c>
      <c r="C54" s="1" t="n">
        <v>46185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809-2026</t>
        </is>
      </c>
      <c r="B55" s="1" t="n">
        <v>46030.32238425926</v>
      </c>
      <c r="C55" s="1" t="n">
        <v>46185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554-2026</t>
        </is>
      </c>
      <c r="B56" s="1" t="n">
        <v>46029.46380787037</v>
      </c>
      <c r="C56" s="1" t="n">
        <v>46185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28550-2025</t>
        </is>
      </c>
      <c r="B57" s="1" t="n">
        <v>45818</v>
      </c>
      <c r="C57" s="1" t="n">
        <v>46185</v>
      </c>
      <c r="D57" t="inlineStr">
        <is>
          <t>SKÅNE LÄN</t>
        </is>
      </c>
      <c r="E57" t="inlineStr">
        <is>
          <t>HÖRBY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46185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9612-2025</t>
        </is>
      </c>
      <c r="B59" s="1" t="n">
        <v>45715.65923611111</v>
      </c>
      <c r="C59" s="1" t="n">
        <v>46185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47612-2023</t>
        </is>
      </c>
      <c r="B60" s="1" t="n">
        <v>45203</v>
      </c>
      <c r="C60" s="1" t="n">
        <v>46185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15998-2024</t>
        </is>
      </c>
      <c r="B61" s="1" t="n">
        <v>45405</v>
      </c>
      <c r="C61" s="1" t="n">
        <v>46185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16001-2024</t>
        </is>
      </c>
      <c r="B62" s="1" t="n">
        <v>45405</v>
      </c>
      <c r="C62" s="1" t="n">
        <v>46185</v>
      </c>
      <c r="D62" t="inlineStr">
        <is>
          <t>SKÅNE LÄN</t>
        </is>
      </c>
      <c r="E62" t="inlineStr">
        <is>
          <t>HÖRBY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29244-2025</t>
        </is>
      </c>
      <c r="B63" s="1" t="n">
        <v>45824.36681712963</v>
      </c>
      <c r="C63" s="1" t="n">
        <v>46185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29354-2025</t>
        </is>
      </c>
      <c r="B64" s="1" t="n">
        <v>45824</v>
      </c>
      <c r="C64" s="1" t="n">
        <v>46185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43828-2024</t>
        </is>
      </c>
      <c r="B65" s="1" t="n">
        <v>45572.2912037037</v>
      </c>
      <c r="C65" s="1" t="n">
        <v>46185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2981-2024</t>
        </is>
      </c>
      <c r="B66" s="1" t="n">
        <v>45315</v>
      </c>
      <c r="C66" s="1" t="n">
        <v>46185</v>
      </c>
      <c r="D66" t="inlineStr">
        <is>
          <t>SKÅNE LÄN</t>
        </is>
      </c>
      <c r="E66" t="inlineStr">
        <is>
          <t>HÖRBY</t>
        </is>
      </c>
      <c r="F66" t="inlineStr">
        <is>
          <t>Kyrkan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32459-2025</t>
        </is>
      </c>
      <c r="B67" s="1" t="n">
        <v>45838.41444444445</v>
      </c>
      <c r="C67" s="1" t="n">
        <v>46185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32524-2025</t>
        </is>
      </c>
      <c r="B68" s="1" t="n">
        <v>45838</v>
      </c>
      <c r="C68" s="1" t="n">
        <v>46185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32958-2025</t>
        </is>
      </c>
      <c r="B69" s="1" t="n">
        <v>45839</v>
      </c>
      <c r="C69" s="1" t="n">
        <v>46185</v>
      </c>
      <c r="D69" t="inlineStr">
        <is>
          <t>SKÅNE LÄN</t>
        </is>
      </c>
      <c r="E69" t="inlineStr">
        <is>
          <t>HÖRBY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34154-2025</t>
        </is>
      </c>
      <c r="B70" s="1" t="n">
        <v>45845</v>
      </c>
      <c r="C70" s="1" t="n">
        <v>46185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37756-2024</t>
        </is>
      </c>
      <c r="B71" s="1" t="n">
        <v>45541.74803240741</v>
      </c>
      <c r="C71" s="1" t="n">
        <v>46185</v>
      </c>
      <c r="D71" t="inlineStr">
        <is>
          <t>SKÅNE LÄN</t>
        </is>
      </c>
      <c r="E71" t="inlineStr">
        <is>
          <t>HÖRBY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44135-2024</t>
        </is>
      </c>
      <c r="B72" s="1" t="n">
        <v>45572</v>
      </c>
      <c r="C72" s="1" t="n">
        <v>46185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1989-2026</t>
        </is>
      </c>
      <c r="B73" s="1" t="n">
        <v>46035.66065972222</v>
      </c>
      <c r="C73" s="1" t="n">
        <v>46185</v>
      </c>
      <c r="D73" t="inlineStr">
        <is>
          <t>SKÅNE LÄN</t>
        </is>
      </c>
      <c r="E73" t="inlineStr">
        <is>
          <t>HÖRBY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18609-2025</t>
        </is>
      </c>
      <c r="B74" s="1" t="n">
        <v>45763</v>
      </c>
      <c r="C74" s="1" t="n">
        <v>46185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56750-2023</t>
        </is>
      </c>
      <c r="B75" s="1" t="n">
        <v>45238</v>
      </c>
      <c r="C75" s="1" t="n">
        <v>46185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42715-2023</t>
        </is>
      </c>
      <c r="B76" s="1" t="n">
        <v>45176</v>
      </c>
      <c r="C76" s="1" t="n">
        <v>46185</v>
      </c>
      <c r="D76" t="inlineStr">
        <is>
          <t>SKÅNE LÄN</t>
        </is>
      </c>
      <c r="E76" t="inlineStr">
        <is>
          <t>HÖRBY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13633-2024</t>
        </is>
      </c>
      <c r="B77" s="1" t="n">
        <v>45390.42027777778</v>
      </c>
      <c r="C77" s="1" t="n">
        <v>46185</v>
      </c>
      <c r="D77" t="inlineStr">
        <is>
          <t>SKÅNE LÄN</t>
        </is>
      </c>
      <c r="E77" t="inlineStr">
        <is>
          <t>HÖRBY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18360-2025</t>
        </is>
      </c>
      <c r="B78" s="1" t="n">
        <v>45762</v>
      </c>
      <c r="C78" s="1" t="n">
        <v>46185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36355-2025</t>
        </is>
      </c>
      <c r="B79" s="1" t="n">
        <v>45868.50842592592</v>
      </c>
      <c r="C79" s="1" t="n">
        <v>46185</v>
      </c>
      <c r="D79" t="inlineStr">
        <is>
          <t>SKÅNE LÄN</t>
        </is>
      </c>
      <c r="E79" t="inlineStr">
        <is>
          <t>HÖRBY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3013-2026</t>
        </is>
      </c>
      <c r="B80" s="1" t="n">
        <v>46038.66546296296</v>
      </c>
      <c r="C80" s="1" t="n">
        <v>46185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36362-2025</t>
        </is>
      </c>
      <c r="B81" s="1" t="n">
        <v>45868.5252662037</v>
      </c>
      <c r="C81" s="1" t="n">
        <v>46185</v>
      </c>
      <c r="D81" t="inlineStr">
        <is>
          <t>SKÅNE LÄN</t>
        </is>
      </c>
      <c r="E81" t="inlineStr">
        <is>
          <t>HÖRBY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58641-2023</t>
        </is>
      </c>
      <c r="B82" s="1" t="n">
        <v>45251</v>
      </c>
      <c r="C82" s="1" t="n">
        <v>46185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2688-2026</t>
        </is>
      </c>
      <c r="B83" s="1" t="n">
        <v>46037.65879629629</v>
      </c>
      <c r="C83" s="1" t="n">
        <v>46185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2686-2026</t>
        </is>
      </c>
      <c r="B84" s="1" t="n">
        <v>46037</v>
      </c>
      <c r="C84" s="1" t="n">
        <v>46185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25552-2025</t>
        </is>
      </c>
      <c r="B85" s="1" t="n">
        <v>45803</v>
      </c>
      <c r="C85" s="1" t="n">
        <v>46185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18603-2025</t>
        </is>
      </c>
      <c r="B86" s="1" t="n">
        <v>45763.49189814815</v>
      </c>
      <c r="C86" s="1" t="n">
        <v>46185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3346-2024</t>
        </is>
      </c>
      <c r="B87" s="1" t="n">
        <v>45317</v>
      </c>
      <c r="C87" s="1" t="n">
        <v>46185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788-2024</t>
        </is>
      </c>
      <c r="B88" s="1" t="n">
        <v>45300.56560185185</v>
      </c>
      <c r="C88" s="1" t="n">
        <v>46185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50200-2025</t>
        </is>
      </c>
      <c r="B89" s="1" t="n">
        <v>45943.65060185185</v>
      </c>
      <c r="C89" s="1" t="n">
        <v>46185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38147-2025</t>
        </is>
      </c>
      <c r="B90" s="1" t="n">
        <v>45882.58765046296</v>
      </c>
      <c r="C90" s="1" t="n">
        <v>46185</v>
      </c>
      <c r="D90" t="inlineStr">
        <is>
          <t>SKÅNE LÄN</t>
        </is>
      </c>
      <c r="E90" t="inlineStr">
        <is>
          <t>HÖRBY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34147-2025</t>
        </is>
      </c>
      <c r="B91" s="1" t="n">
        <v>45845</v>
      </c>
      <c r="C91" s="1" t="n">
        <v>46185</v>
      </c>
      <c r="D91" t="inlineStr">
        <is>
          <t>SKÅNE LÄN</t>
        </is>
      </c>
      <c r="E91" t="inlineStr">
        <is>
          <t>HÖRBY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3180-2026</t>
        </is>
      </c>
      <c r="B92" s="1" t="n">
        <v>46041.44900462963</v>
      </c>
      <c r="C92" s="1" t="n">
        <v>46185</v>
      </c>
      <c r="D92" t="inlineStr">
        <is>
          <t>SKÅNE LÄN</t>
        </is>
      </c>
      <c r="E92" t="inlineStr">
        <is>
          <t>HÖRBY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4791-2026</t>
        </is>
      </c>
      <c r="B93" s="1" t="n">
        <v>46048.56442129629</v>
      </c>
      <c r="C93" s="1" t="n">
        <v>46185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4597-2026</t>
        </is>
      </c>
      <c r="B94" s="1" t="n">
        <v>46048.34892361111</v>
      </c>
      <c r="C94" s="1" t="n">
        <v>46185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4590-2026</t>
        </is>
      </c>
      <c r="B95" s="1" t="n">
        <v>46048.34422453704</v>
      </c>
      <c r="C95" s="1" t="n">
        <v>46185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5370-2026</t>
        </is>
      </c>
      <c r="B96" s="1" t="n">
        <v>46050</v>
      </c>
      <c r="C96" s="1" t="n">
        <v>46185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5374-2026</t>
        </is>
      </c>
      <c r="B97" s="1" t="n">
        <v>46050.45886574074</v>
      </c>
      <c r="C97" s="1" t="n">
        <v>46185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51757-2025</t>
        </is>
      </c>
      <c r="B98" s="1" t="n">
        <v>45951.62902777778</v>
      </c>
      <c r="C98" s="1" t="n">
        <v>46185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6350-2026</t>
        </is>
      </c>
      <c r="B99" s="1" t="n">
        <v>46051</v>
      </c>
      <c r="C99" s="1" t="n">
        <v>46185</v>
      </c>
      <c r="D99" t="inlineStr">
        <is>
          <t>SKÅNE LÄN</t>
        </is>
      </c>
      <c r="E99" t="inlineStr">
        <is>
          <t>HÖRBY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50715-2024</t>
        </is>
      </c>
      <c r="B100" s="1" t="n">
        <v>45602</v>
      </c>
      <c r="C100" s="1" t="n">
        <v>46185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52929-2025</t>
        </is>
      </c>
      <c r="B101" s="1" t="n">
        <v>45957.62021990741</v>
      </c>
      <c r="C101" s="1" t="n">
        <v>46185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52690-2025</t>
        </is>
      </c>
      <c r="B102" s="1" t="n">
        <v>45956.48366898148</v>
      </c>
      <c r="C102" s="1" t="n">
        <v>46185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52930-2025</t>
        </is>
      </c>
      <c r="B103" s="1" t="n">
        <v>45957.6219212963</v>
      </c>
      <c r="C103" s="1" t="n">
        <v>46185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2816-2025</t>
        </is>
      </c>
      <c r="B104" s="1" t="n">
        <v>45677</v>
      </c>
      <c r="C104" s="1" t="n">
        <v>46185</v>
      </c>
      <c r="D104" t="inlineStr">
        <is>
          <t>SKÅNE LÄN</t>
        </is>
      </c>
      <c r="E104" t="inlineStr">
        <is>
          <t>HÖRBY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16101-2025</t>
        </is>
      </c>
      <c r="B105" s="1" t="n">
        <v>45750.2624537037</v>
      </c>
      <c r="C105" s="1" t="n">
        <v>46185</v>
      </c>
      <c r="D105" t="inlineStr">
        <is>
          <t>SKÅNE LÄN</t>
        </is>
      </c>
      <c r="E105" t="inlineStr">
        <is>
          <t>HÖRBY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34422-2024</t>
        </is>
      </c>
      <c r="B106" s="1" t="n">
        <v>45525</v>
      </c>
      <c r="C106" s="1" t="n">
        <v>46185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11943-2025</t>
        </is>
      </c>
      <c r="B107" s="1" t="n">
        <v>45728</v>
      </c>
      <c r="C107" s="1" t="n">
        <v>46185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54765-2025</t>
        </is>
      </c>
      <c r="B108" s="1" t="n">
        <v>45966.60334490741</v>
      </c>
      <c r="C108" s="1" t="n">
        <v>46185</v>
      </c>
      <c r="D108" t="inlineStr">
        <is>
          <t>SKÅNE LÄN</t>
        </is>
      </c>
      <c r="E108" t="inlineStr">
        <is>
          <t>HÖRBY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44613-2023</t>
        </is>
      </c>
      <c r="B109" s="1" t="n">
        <v>45189</v>
      </c>
      <c r="C109" s="1" t="n">
        <v>46185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8310-2026</t>
        </is>
      </c>
      <c r="B110" s="1" t="n">
        <v>46064.59166666667</v>
      </c>
      <c r="C110" s="1" t="n">
        <v>46185</v>
      </c>
      <c r="D110" t="inlineStr">
        <is>
          <t>SKÅNE LÄN</t>
        </is>
      </c>
      <c r="E110" t="inlineStr">
        <is>
          <t>HÖRBY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40994-2025</t>
        </is>
      </c>
      <c r="B111" s="1" t="n">
        <v>45898</v>
      </c>
      <c r="C111" s="1" t="n">
        <v>46185</v>
      </c>
      <c r="D111" t="inlineStr">
        <is>
          <t>SKÅNE LÄN</t>
        </is>
      </c>
      <c r="E111" t="inlineStr">
        <is>
          <t>HÖRBY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8260-2026</t>
        </is>
      </c>
      <c r="B112" s="1" t="n">
        <v>46064.52855324074</v>
      </c>
      <c r="C112" s="1" t="n">
        <v>46185</v>
      </c>
      <c r="D112" t="inlineStr">
        <is>
          <t>SKÅNE LÄN</t>
        </is>
      </c>
      <c r="E112" t="inlineStr">
        <is>
          <t>HÖRBY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43937-2023</t>
        </is>
      </c>
      <c r="B113" s="1" t="n">
        <v>45187</v>
      </c>
      <c r="C113" s="1" t="n">
        <v>46185</v>
      </c>
      <c r="D113" t="inlineStr">
        <is>
          <t>SKÅNE LÄN</t>
        </is>
      </c>
      <c r="E113" t="inlineStr">
        <is>
          <t>HÖRBY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43939-2023</t>
        </is>
      </c>
      <c r="B114" s="1" t="n">
        <v>45187</v>
      </c>
      <c r="C114" s="1" t="n">
        <v>46185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55304-2025</t>
        </is>
      </c>
      <c r="B115" s="1" t="n">
        <v>45970</v>
      </c>
      <c r="C115" s="1" t="n">
        <v>46185</v>
      </c>
      <c r="D115" t="inlineStr">
        <is>
          <t>SKÅNE LÄN</t>
        </is>
      </c>
      <c r="E115" t="inlineStr">
        <is>
          <t>HÖRBY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55306-2025</t>
        </is>
      </c>
      <c r="B116" s="1" t="n">
        <v>45970</v>
      </c>
      <c r="C116" s="1" t="n">
        <v>46185</v>
      </c>
      <c r="D116" t="inlineStr">
        <is>
          <t>SKÅNE LÄN</t>
        </is>
      </c>
      <c r="E116" t="inlineStr">
        <is>
          <t>HÖRBY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8259-2026</t>
        </is>
      </c>
      <c r="B117" s="1" t="n">
        <v>46064</v>
      </c>
      <c r="C117" s="1" t="n">
        <v>46185</v>
      </c>
      <c r="D117" t="inlineStr">
        <is>
          <t>SKÅNE LÄN</t>
        </is>
      </c>
      <c r="E117" t="inlineStr">
        <is>
          <t>HÖRBY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67426-2021</t>
        </is>
      </c>
      <c r="B118" s="1" t="n">
        <v>44523</v>
      </c>
      <c r="C118" s="1" t="n">
        <v>46185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55942-2025</t>
        </is>
      </c>
      <c r="B119" s="1" t="n">
        <v>45973.45210648148</v>
      </c>
      <c r="C119" s="1" t="n">
        <v>46185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3534-2025</t>
        </is>
      </c>
      <c r="B120" s="1" t="n">
        <v>45680</v>
      </c>
      <c r="C120" s="1" t="n">
        <v>46185</v>
      </c>
      <c r="D120" t="inlineStr">
        <is>
          <t>SKÅNE LÄN</t>
        </is>
      </c>
      <c r="E120" t="inlineStr">
        <is>
          <t>HÖRBY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7831-2025</t>
        </is>
      </c>
      <c r="B121" s="1" t="n">
        <v>45706</v>
      </c>
      <c r="C121" s="1" t="n">
        <v>46185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57269-2025</t>
        </is>
      </c>
      <c r="B122" s="1" t="n">
        <v>45979.67579861111</v>
      </c>
      <c r="C122" s="1" t="n">
        <v>46185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45043.68783564815</v>
      </c>
      <c r="C123" s="1" t="n">
        <v>46185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10110-2026</t>
        </is>
      </c>
      <c r="B124" s="1" t="n">
        <v>46074.71680555555</v>
      </c>
      <c r="C124" s="1" t="n">
        <v>46185</v>
      </c>
      <c r="D124" t="inlineStr">
        <is>
          <t>SKÅNE LÄN</t>
        </is>
      </c>
      <c r="E124" t="inlineStr">
        <is>
          <t>HÖRBY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59284-2025</t>
        </is>
      </c>
      <c r="B125" s="1" t="n">
        <v>45988.72927083333</v>
      </c>
      <c r="C125" s="1" t="n">
        <v>46185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59308-2025</t>
        </is>
      </c>
      <c r="B126" s="1" t="n">
        <v>45989</v>
      </c>
      <c r="C126" s="1" t="n">
        <v>46185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10731-2026</t>
        </is>
      </c>
      <c r="B127" s="1" t="n">
        <v>46078</v>
      </c>
      <c r="C127" s="1" t="n">
        <v>46185</v>
      </c>
      <c r="D127" t="inlineStr">
        <is>
          <t>SKÅNE LÄN</t>
        </is>
      </c>
      <c r="E127" t="inlineStr">
        <is>
          <t>HÖRBY</t>
        </is>
      </c>
      <c r="F127" t="inlineStr">
        <is>
          <t>Kyrkan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59307-2025</t>
        </is>
      </c>
      <c r="B128" s="1" t="n">
        <v>45989.25509259259</v>
      </c>
      <c r="C128" s="1" t="n">
        <v>46185</v>
      </c>
      <c r="D128" t="inlineStr">
        <is>
          <t>SKÅNE LÄN</t>
        </is>
      </c>
      <c r="E128" t="inlineStr">
        <is>
          <t>HÖRBY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6591-2025</t>
        </is>
      </c>
      <c r="B129" s="1" t="n">
        <v>45700.30478009259</v>
      </c>
      <c r="C129" s="1" t="n">
        <v>46185</v>
      </c>
      <c r="D129" t="inlineStr">
        <is>
          <t>SKÅNE LÄN</t>
        </is>
      </c>
      <c r="E129" t="inlineStr">
        <is>
          <t>HÖRBY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45103.44575231482</v>
      </c>
      <c r="C130" s="1" t="n">
        <v>46185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23328-2023</t>
        </is>
      </c>
      <c r="B131" s="1" t="n">
        <v>45076</v>
      </c>
      <c r="C131" s="1" t="n">
        <v>46185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36840-2024</t>
        </is>
      </c>
      <c r="B132" s="1" t="n">
        <v>45538</v>
      </c>
      <c r="C132" s="1" t="n">
        <v>46185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60913-2023</t>
        </is>
      </c>
      <c r="B133" s="1" t="n">
        <v>45261.39200231482</v>
      </c>
      <c r="C133" s="1" t="n">
        <v>46185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62277-2025</t>
        </is>
      </c>
      <c r="B134" s="1" t="n">
        <v>46006.63184027778</v>
      </c>
      <c r="C134" s="1" t="n">
        <v>46185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46185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46185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46185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46185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14307-2026</t>
        </is>
      </c>
      <c r="B139" s="1" t="n">
        <v>46099.80653935186</v>
      </c>
      <c r="C139" s="1" t="n">
        <v>46185</v>
      </c>
      <c r="D139" t="inlineStr">
        <is>
          <t>SKÅNE LÄN</t>
        </is>
      </c>
      <c r="E139" t="inlineStr">
        <is>
          <t>HÖRBY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3520-2026</t>
        </is>
      </c>
      <c r="B140" s="1" t="n">
        <v>46042</v>
      </c>
      <c r="C140" s="1" t="n">
        <v>46185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3470-2026</t>
        </is>
      </c>
      <c r="B141" s="1" t="n">
        <v>46042</v>
      </c>
      <c r="C141" s="1" t="n">
        <v>46185</v>
      </c>
      <c r="D141" t="inlineStr">
        <is>
          <t>SKÅNE LÄN</t>
        </is>
      </c>
      <c r="E141" t="inlineStr">
        <is>
          <t>HÖRBY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13804-2024</t>
        </is>
      </c>
      <c r="B142" s="1" t="n">
        <v>45391</v>
      </c>
      <c r="C142" s="1" t="n">
        <v>46185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25833-2024</t>
        </is>
      </c>
      <c r="B143" s="1" t="n">
        <v>45463</v>
      </c>
      <c r="C143" s="1" t="n">
        <v>46185</v>
      </c>
      <c r="D143" t="inlineStr">
        <is>
          <t>SKÅNE LÄN</t>
        </is>
      </c>
      <c r="E143" t="inlineStr">
        <is>
          <t>HÖRBY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9850-2026</t>
        </is>
      </c>
      <c r="B144" s="1" t="n">
        <v>46072</v>
      </c>
      <c r="C144" s="1" t="n">
        <v>46185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3513-2026</t>
        </is>
      </c>
      <c r="B145" s="1" t="n">
        <v>46042</v>
      </c>
      <c r="C145" s="1" t="n">
        <v>46185</v>
      </c>
      <c r="D145" t="inlineStr">
        <is>
          <t>SKÅNE LÄN</t>
        </is>
      </c>
      <c r="E145" t="inlineStr">
        <is>
          <t>HÖRBY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6886-2024</t>
        </is>
      </c>
      <c r="B146" s="1" t="n">
        <v>45342</v>
      </c>
      <c r="C146" s="1" t="n">
        <v>46185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1106-2023</t>
        </is>
      </c>
      <c r="B147" s="1" t="n">
        <v>44935</v>
      </c>
      <c r="C147" s="1" t="n">
        <v>46185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17073-2023</t>
        </is>
      </c>
      <c r="B148" s="1" t="n">
        <v>45034</v>
      </c>
      <c r="C148" s="1" t="n">
        <v>46185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2979-2024</t>
        </is>
      </c>
      <c r="B149" s="1" t="n">
        <v>45315</v>
      </c>
      <c r="C149" s="1" t="n">
        <v>46185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31596-2023</t>
        </is>
      </c>
      <c r="B150" s="1" t="n">
        <v>45117</v>
      </c>
      <c r="C150" s="1" t="n">
        <v>46185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57017-2025</t>
        </is>
      </c>
      <c r="B151" s="1" t="n">
        <v>45978</v>
      </c>
      <c r="C151" s="1" t="n">
        <v>46185</v>
      </c>
      <c r="D151" t="inlineStr">
        <is>
          <t>SKÅNE LÄN</t>
        </is>
      </c>
      <c r="E151" t="inlineStr">
        <is>
          <t>HÖRBY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23606-2026</t>
        </is>
      </c>
      <c r="B152" s="1" t="n">
        <v>46162</v>
      </c>
      <c r="C152" s="1" t="n">
        <v>46185</v>
      </c>
      <c r="D152" t="inlineStr">
        <is>
          <t>SKÅNE LÄN</t>
        </is>
      </c>
      <c r="E152" t="inlineStr">
        <is>
          <t>HÖRBY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46185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43932-2023</t>
        </is>
      </c>
      <c r="B154" s="1" t="n">
        <v>45187</v>
      </c>
      <c r="C154" s="1" t="n">
        <v>46185</v>
      </c>
      <c r="D154" t="inlineStr">
        <is>
          <t>SKÅNE LÄN</t>
        </is>
      </c>
      <c r="E154" t="inlineStr">
        <is>
          <t>HÖRBY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43935-2023</t>
        </is>
      </c>
      <c r="B155" s="1" t="n">
        <v>45187</v>
      </c>
      <c r="C155" s="1" t="n">
        <v>46185</v>
      </c>
      <c r="D155" t="inlineStr">
        <is>
          <t>SKÅNE LÄN</t>
        </is>
      </c>
      <c r="E155" t="inlineStr">
        <is>
          <t>HÖRBY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31115-2024</t>
        </is>
      </c>
      <c r="B156" s="1" t="n">
        <v>45502</v>
      </c>
      <c r="C156" s="1" t="n">
        <v>46185</v>
      </c>
      <c r="D156" t="inlineStr">
        <is>
          <t>SKÅNE LÄN</t>
        </is>
      </c>
      <c r="E156" t="inlineStr">
        <is>
          <t>HÖRBY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20403-2024</t>
        </is>
      </c>
      <c r="B157" s="1" t="n">
        <v>45435</v>
      </c>
      <c r="C157" s="1" t="n">
        <v>46185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3040-2024</t>
        </is>
      </c>
      <c r="B158" s="1" t="n">
        <v>45316</v>
      </c>
      <c r="C158" s="1" t="n">
        <v>46185</v>
      </c>
      <c r="D158" t="inlineStr">
        <is>
          <t>SKÅNE LÄN</t>
        </is>
      </c>
      <c r="E158" t="inlineStr">
        <is>
          <t>HÖRBY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44816-2023</t>
        </is>
      </c>
      <c r="B159" s="1" t="n">
        <v>45190.51157407407</v>
      </c>
      <c r="C159" s="1" t="n">
        <v>46185</v>
      </c>
      <c r="D159" t="inlineStr">
        <is>
          <t>SKÅNE LÄN</t>
        </is>
      </c>
      <c r="E159" t="inlineStr">
        <is>
          <t>HÖRBY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47552-2023</t>
        </is>
      </c>
      <c r="B160" s="1" t="n">
        <v>45203.38798611111</v>
      </c>
      <c r="C160" s="1" t="n">
        <v>46185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3177-2026</t>
        </is>
      </c>
      <c r="B161" s="1" t="n">
        <v>46041</v>
      </c>
      <c r="C161" s="1" t="n">
        <v>46185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54431-2023</t>
        </is>
      </c>
      <c r="B162" s="1" t="n">
        <v>45226</v>
      </c>
      <c r="C162" s="1" t="n">
        <v>46185</v>
      </c>
      <c r="D162" t="inlineStr">
        <is>
          <t>SKÅNE LÄN</t>
        </is>
      </c>
      <c r="E162" t="inlineStr">
        <is>
          <t>HÖRBY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19777-2023</t>
        </is>
      </c>
      <c r="B163" s="1" t="n">
        <v>45051</v>
      </c>
      <c r="C163" s="1" t="n">
        <v>46185</v>
      </c>
      <c r="D163" t="inlineStr">
        <is>
          <t>SKÅNE LÄN</t>
        </is>
      </c>
      <c r="E163" t="inlineStr">
        <is>
          <t>HÖRBY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43879-2023</t>
        </is>
      </c>
      <c r="B164" s="1" t="n">
        <v>45187</v>
      </c>
      <c r="C164" s="1" t="n">
        <v>46185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7402-2026</t>
        </is>
      </c>
      <c r="B165" s="1" t="n">
        <v>46059</v>
      </c>
      <c r="C165" s="1" t="n">
        <v>46185</v>
      </c>
      <c r="D165" t="inlineStr">
        <is>
          <t>SKÅNE LÄN</t>
        </is>
      </c>
      <c r="E165" t="inlineStr">
        <is>
          <t>HÖRBY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3471-2025</t>
        </is>
      </c>
      <c r="B166" s="1" t="n">
        <v>45680</v>
      </c>
      <c r="C166" s="1" t="n">
        <v>46185</v>
      </c>
      <c r="D166" t="inlineStr">
        <is>
          <t>SKÅNE LÄN</t>
        </is>
      </c>
      <c r="E166" t="inlineStr">
        <is>
          <t>HÖRBY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49726-2023</t>
        </is>
      </c>
      <c r="B167" s="1" t="n">
        <v>45208</v>
      </c>
      <c r="C167" s="1" t="n">
        <v>46185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24823-2026</t>
        </is>
      </c>
      <c r="B168" s="1" t="n">
        <v>46174.33790509259</v>
      </c>
      <c r="C168" s="1" t="n">
        <v>46185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28501-2023</t>
        </is>
      </c>
      <c r="B169" s="1" t="n">
        <v>45103</v>
      </c>
      <c r="C169" s="1" t="n">
        <v>46185</v>
      </c>
      <c r="D169" t="inlineStr">
        <is>
          <t>SKÅNE LÄN</t>
        </is>
      </c>
      <c r="E169" t="inlineStr">
        <is>
          <t>HÖRBY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33873-2024</t>
        </is>
      </c>
      <c r="B170" s="1" t="n">
        <v>45521.66075231481</v>
      </c>
      <c r="C170" s="1" t="n">
        <v>46185</v>
      </c>
      <c r="D170" t="inlineStr">
        <is>
          <t>SKÅNE LÄN</t>
        </is>
      </c>
      <c r="E170" t="inlineStr">
        <is>
          <t>HÖRBY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21774-2026</t>
        </is>
      </c>
      <c r="B171" s="1" t="n">
        <v>46150</v>
      </c>
      <c r="C171" s="1" t="n">
        <v>46185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16519-2026</t>
        </is>
      </c>
      <c r="B172" s="1" t="n">
        <v>46112</v>
      </c>
      <c r="C172" s="1" t="n">
        <v>46185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58360-2023</t>
        </is>
      </c>
      <c r="B173" s="1" t="n">
        <v>45250</v>
      </c>
      <c r="C173" s="1" t="n">
        <v>46185</v>
      </c>
      <c r="D173" t="inlineStr">
        <is>
          <t>SKÅNE LÄN</t>
        </is>
      </c>
      <c r="E173" t="inlineStr">
        <is>
          <t>HÖRBY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39298-2023</t>
        </is>
      </c>
      <c r="B174" s="1" t="n">
        <v>45166.55553240741</v>
      </c>
      <c r="C174" s="1" t="n">
        <v>46185</v>
      </c>
      <c r="D174" t="inlineStr">
        <is>
          <t>SKÅNE LÄN</t>
        </is>
      </c>
      <c r="E174" t="inlineStr">
        <is>
          <t>HÖRBY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29219-2023</t>
        </is>
      </c>
      <c r="B175" s="1" t="n">
        <v>45105.58829861111</v>
      </c>
      <c r="C175" s="1" t="n">
        <v>46185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3542-2025</t>
        </is>
      </c>
      <c r="B176" s="1" t="n">
        <v>45680</v>
      </c>
      <c r="C176" s="1" t="n">
        <v>46185</v>
      </c>
      <c r="D176" t="inlineStr">
        <is>
          <t>SKÅNE LÄN</t>
        </is>
      </c>
      <c r="E176" t="inlineStr">
        <is>
          <t>HÖRBY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16518-2026</t>
        </is>
      </c>
      <c r="B177" s="1" t="n">
        <v>46112</v>
      </c>
      <c r="C177" s="1" t="n">
        <v>46185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47637-2023</t>
        </is>
      </c>
      <c r="B178" s="1" t="n">
        <v>45203</v>
      </c>
      <c r="C178" s="1" t="n">
        <v>46185</v>
      </c>
      <c r="D178" t="inlineStr">
        <is>
          <t>SKÅNE LÄN</t>
        </is>
      </c>
      <c r="E178" t="inlineStr">
        <is>
          <t>HÖRBY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5079-2026</t>
        </is>
      </c>
      <c r="B179" s="1" t="n">
        <v>46049.53917824074</v>
      </c>
      <c r="C179" s="1" t="n">
        <v>46185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65073-2023</t>
        </is>
      </c>
      <c r="B180" s="1" t="n">
        <v>45287</v>
      </c>
      <c r="C180" s="1" t="n">
        <v>46185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24670-2024</t>
        </is>
      </c>
      <c r="B181" s="1" t="n">
        <v>45460.58565972222</v>
      </c>
      <c r="C181" s="1" t="n">
        <v>46185</v>
      </c>
      <c r="D181" t="inlineStr">
        <is>
          <t>SKÅNE LÄN</t>
        </is>
      </c>
      <c r="E181" t="inlineStr">
        <is>
          <t>HÖRBY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6533-2024</t>
        </is>
      </c>
      <c r="B182" s="1" t="n">
        <v>45341.38024305556</v>
      </c>
      <c r="C182" s="1" t="n">
        <v>46185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46185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31114-2024</t>
        </is>
      </c>
      <c r="B184" s="1" t="n">
        <v>45502</v>
      </c>
      <c r="C184" s="1" t="n">
        <v>46185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11941-2025</t>
        </is>
      </c>
      <c r="B185" s="1" t="n">
        <v>45728</v>
      </c>
      <c r="C185" s="1" t="n">
        <v>46185</v>
      </c>
      <c r="D185" t="inlineStr">
        <is>
          <t>SKÅNE LÄN</t>
        </is>
      </c>
      <c r="E185" t="inlineStr">
        <is>
          <t>HÖRBY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15631-2025</t>
        </is>
      </c>
      <c r="B186" s="1" t="n">
        <v>45748</v>
      </c>
      <c r="C186" s="1" t="n">
        <v>46185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55307-2025</t>
        </is>
      </c>
      <c r="B187" s="1" t="n">
        <v>45970</v>
      </c>
      <c r="C187" s="1" t="n">
        <v>46185</v>
      </c>
      <c r="D187" t="inlineStr">
        <is>
          <t>SKÅNE LÄN</t>
        </is>
      </c>
      <c r="E187" t="inlineStr">
        <is>
          <t>HÖRBY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38684-2022</t>
        </is>
      </c>
      <c r="B188" s="1" t="n">
        <v>44814</v>
      </c>
      <c r="C188" s="1" t="n">
        <v>46185</v>
      </c>
      <c r="D188" t="inlineStr">
        <is>
          <t>SKÅNE LÄN</t>
        </is>
      </c>
      <c r="E188" t="inlineStr">
        <is>
          <t>HÖRBY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37757-2024</t>
        </is>
      </c>
      <c r="B189" s="1" t="n">
        <v>45541</v>
      </c>
      <c r="C189" s="1" t="n">
        <v>46185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25183-2023</t>
        </is>
      </c>
      <c r="B190" s="1" t="n">
        <v>45079</v>
      </c>
      <c r="C190" s="1" t="n">
        <v>46185</v>
      </c>
      <c r="D190" t="inlineStr">
        <is>
          <t>SKÅNE LÄN</t>
        </is>
      </c>
      <c r="E190" t="inlineStr">
        <is>
          <t>HÖRBY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20047-2026</t>
        </is>
      </c>
      <c r="B191" s="1" t="n">
        <v>46136</v>
      </c>
      <c r="C191" s="1" t="n">
        <v>46185</v>
      </c>
      <c r="D191" t="inlineStr">
        <is>
          <t>SKÅNE LÄN</t>
        </is>
      </c>
      <c r="E191" t="inlineStr">
        <is>
          <t>HÖRBY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44073-2024</t>
        </is>
      </c>
      <c r="B192" s="1" t="n">
        <v>45572</v>
      </c>
      <c r="C192" s="1" t="n">
        <v>46185</v>
      </c>
      <c r="D192" t="inlineStr">
        <is>
          <t>SKÅNE LÄN</t>
        </is>
      </c>
      <c r="E192" t="inlineStr">
        <is>
          <t>HÖRBY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37276-2024</t>
        </is>
      </c>
      <c r="B193" s="1" t="n">
        <v>45540.40679398148</v>
      </c>
      <c r="C193" s="1" t="n">
        <v>46185</v>
      </c>
      <c r="D193" t="inlineStr">
        <is>
          <t>SKÅNE LÄN</t>
        </is>
      </c>
      <c r="E193" t="inlineStr">
        <is>
          <t>HÖRBY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20595-2024</t>
        </is>
      </c>
      <c r="B194" s="1" t="n">
        <v>45436</v>
      </c>
      <c r="C194" s="1" t="n">
        <v>46185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10524-2026</t>
        </is>
      </c>
      <c r="B195" s="1" t="n">
        <v>46076</v>
      </c>
      <c r="C195" s="1" t="n">
        <v>46185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119-2023</t>
        </is>
      </c>
      <c r="B196" s="1" t="n">
        <v>44928</v>
      </c>
      <c r="C196" s="1" t="n">
        <v>46185</v>
      </c>
      <c r="D196" t="inlineStr">
        <is>
          <t>SKÅNE LÄN</t>
        </is>
      </c>
      <c r="E196" t="inlineStr">
        <is>
          <t>HÖRBY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10500-2026</t>
        </is>
      </c>
      <c r="B197" s="1" t="n">
        <v>46076</v>
      </c>
      <c r="C197" s="1" t="n">
        <v>46185</v>
      </c>
      <c r="D197" t="inlineStr">
        <is>
          <t>SKÅNE LÄN</t>
        </is>
      </c>
      <c r="E197" t="inlineStr">
        <is>
          <t>HÖRBY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43685-2022</t>
        </is>
      </c>
      <c r="B198" s="1" t="n">
        <v>44837</v>
      </c>
      <c r="C198" s="1" t="n">
        <v>46185</v>
      </c>
      <c r="D198" t="inlineStr">
        <is>
          <t>SKÅNE LÄN</t>
        </is>
      </c>
      <c r="E198" t="inlineStr">
        <is>
          <t>HÖRBY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38084-2024</t>
        </is>
      </c>
      <c r="B199" s="1" t="n">
        <v>45545.31864583334</v>
      </c>
      <c r="C199" s="1" t="n">
        <v>46185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24724-2024</t>
        </is>
      </c>
      <c r="B200" s="1" t="n">
        <v>45460.64310185185</v>
      </c>
      <c r="C200" s="1" t="n">
        <v>46185</v>
      </c>
      <c r="D200" t="inlineStr">
        <is>
          <t>SKÅNE LÄN</t>
        </is>
      </c>
      <c r="E200" t="inlineStr">
        <is>
          <t>HÖRBY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6558-2025</t>
        </is>
      </c>
      <c r="B201" s="1" t="n">
        <v>45699</v>
      </c>
      <c r="C201" s="1" t="n">
        <v>46185</v>
      </c>
      <c r="D201" t="inlineStr">
        <is>
          <t>SKÅNE LÄN</t>
        </is>
      </c>
      <c r="E201" t="inlineStr">
        <is>
          <t>HÖRBY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2747-2023</t>
        </is>
      </c>
      <c r="B202" s="1" t="n">
        <v>44944</v>
      </c>
      <c r="C202" s="1" t="n">
        <v>46185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31522-2022</t>
        </is>
      </c>
      <c r="B203" s="1" t="n">
        <v>44775.0827662037</v>
      </c>
      <c r="C203" s="1" t="n">
        <v>46185</v>
      </c>
      <c r="D203" t="inlineStr">
        <is>
          <t>SKÅNE LÄN</t>
        </is>
      </c>
      <c r="E203" t="inlineStr">
        <is>
          <t>HÖRBY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55265-2023</t>
        </is>
      </c>
      <c r="B204" s="1" t="n">
        <v>45237</v>
      </c>
      <c r="C204" s="1" t="n">
        <v>46185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28918-2023</t>
        </is>
      </c>
      <c r="B205" s="1" t="n">
        <v>45104</v>
      </c>
      <c r="C205" s="1" t="n">
        <v>46185</v>
      </c>
      <c r="D205" t="inlineStr">
        <is>
          <t>SKÅNE LÄN</t>
        </is>
      </c>
      <c r="E205" t="inlineStr">
        <is>
          <t>HÖRBY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3239-2023</t>
        </is>
      </c>
      <c r="B206" s="1" t="n">
        <v>44946.89586805556</v>
      </c>
      <c r="C206" s="1" t="n">
        <v>46185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13228-2024</t>
        </is>
      </c>
      <c r="B207" s="1" t="n">
        <v>45386</v>
      </c>
      <c r="C207" s="1" t="n">
        <v>46185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48427-2022</t>
        </is>
      </c>
      <c r="B208" s="1" t="n">
        <v>44858</v>
      </c>
      <c r="C208" s="1" t="n">
        <v>46185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4756-2025</t>
        </is>
      </c>
      <c r="B209" s="1" t="n">
        <v>45688.4693287037</v>
      </c>
      <c r="C209" s="1" t="n">
        <v>46185</v>
      </c>
      <c r="D209" t="inlineStr">
        <is>
          <t>SKÅNE LÄN</t>
        </is>
      </c>
      <c r="E209" t="inlineStr">
        <is>
          <t>HÖRBY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33358-2023</t>
        </is>
      </c>
      <c r="B210" s="1" t="n">
        <v>45128</v>
      </c>
      <c r="C210" s="1" t="n">
        <v>46185</v>
      </c>
      <c r="D210" t="inlineStr">
        <is>
          <t>SKÅNE LÄN</t>
        </is>
      </c>
      <c r="E210" t="inlineStr">
        <is>
          <t>HÖRBY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39507-2024</t>
        </is>
      </c>
      <c r="B211" s="1" t="n">
        <v>45551</v>
      </c>
      <c r="C211" s="1" t="n">
        <v>46185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41940-2022</t>
        </is>
      </c>
      <c r="B212" s="1" t="n">
        <v>44833</v>
      </c>
      <c r="C212" s="1" t="n">
        <v>46185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43882-2023</t>
        </is>
      </c>
      <c r="B213" s="1" t="n">
        <v>45187.65003472222</v>
      </c>
      <c r="C213" s="1" t="n">
        <v>46185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28527-2023</t>
        </is>
      </c>
      <c r="B214" s="1" t="n">
        <v>45103</v>
      </c>
      <c r="C214" s="1" t="n">
        <v>46185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19420-2022</t>
        </is>
      </c>
      <c r="B215" s="1" t="n">
        <v>44693</v>
      </c>
      <c r="C215" s="1" t="n">
        <v>46185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42724-2023</t>
        </is>
      </c>
      <c r="B216" s="1" t="n">
        <v>45176</v>
      </c>
      <c r="C216" s="1" t="n">
        <v>46185</v>
      </c>
      <c r="D216" t="inlineStr">
        <is>
          <t>SKÅNE LÄN</t>
        </is>
      </c>
      <c r="E216" t="inlineStr">
        <is>
          <t>HÖRBY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47641-2023</t>
        </is>
      </c>
      <c r="B217" s="1" t="n">
        <v>45203</v>
      </c>
      <c r="C217" s="1" t="n">
        <v>46185</v>
      </c>
      <c r="D217" t="inlineStr">
        <is>
          <t>SKÅNE LÄN</t>
        </is>
      </c>
      <c r="E217" t="inlineStr">
        <is>
          <t>HÖRBY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60963-2023</t>
        </is>
      </c>
      <c r="B218" s="1" t="n">
        <v>45261.46871527778</v>
      </c>
      <c r="C218" s="1" t="n">
        <v>46185</v>
      </c>
      <c r="D218" t="inlineStr">
        <is>
          <t>SKÅNE LÄN</t>
        </is>
      </c>
      <c r="E218" t="inlineStr">
        <is>
          <t>HÖRBY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21713-2025</t>
        </is>
      </c>
      <c r="B219" s="1" t="n">
        <v>45783.53788194444</v>
      </c>
      <c r="C219" s="1" t="n">
        <v>46185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52310-2023</t>
        </is>
      </c>
      <c r="B220" s="1" t="n">
        <v>45224.62993055556</v>
      </c>
      <c r="C220" s="1" t="n">
        <v>46185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2170-2025</t>
        </is>
      </c>
      <c r="B221" s="1" t="n">
        <v>45673.31113425926</v>
      </c>
      <c r="C221" s="1" t="n">
        <v>46185</v>
      </c>
      <c r="D221" t="inlineStr">
        <is>
          <t>SKÅNE LÄN</t>
        </is>
      </c>
      <c r="E221" t="inlineStr">
        <is>
          <t>HÖRBY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32546-2021</t>
        </is>
      </c>
      <c r="B222" s="1" t="n">
        <v>44374.9483912037</v>
      </c>
      <c r="C222" s="1" t="n">
        <v>46185</v>
      </c>
      <c r="D222" t="inlineStr">
        <is>
          <t>SKÅNE LÄN</t>
        </is>
      </c>
      <c r="E222" t="inlineStr">
        <is>
          <t>HÖRBY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46185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16665-2025</t>
        </is>
      </c>
      <c r="B224" s="1" t="n">
        <v>45754.42253472222</v>
      </c>
      <c r="C224" s="1" t="n">
        <v>46185</v>
      </c>
      <c r="D224" t="inlineStr">
        <is>
          <t>SKÅNE LÄN</t>
        </is>
      </c>
      <c r="E224" t="inlineStr">
        <is>
          <t>HÖRBY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2026-06-12T09:27:50Z</dcterms:created>
  <dcterms:modified xmlns:dcterms="http://purl.org/dc/terms/" xmlns:xsi="http://www.w3.org/2001/XMLSchema-instance" xsi:type="dcterms:W3CDTF">2026-06-12T09:27:50Z</dcterms:modified>
</cp:coreProperties>
</file>