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46230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46230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46230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46230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46230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46230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46230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46230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46230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46230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46230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t="n">
        <v>0</v>
      </c>
      <c r="V15" s="2" t="inlineStr">
        <is>
          <t>Ask
Skogsalm
Gullpudra
Trubbfjädermossa</t>
        </is>
      </c>
      <c r="W15">
        <f>HYPERLINK("https://klasma.github.io/Logging_1266/artfynd/A 5619-2024 artfynd.xlsx", "A 5619-2024")</f>
        <v/>
      </c>
      <c r="X15">
        <f>HYPERLINK("https://klasma.github.io/Logging_1266/kartor/A 5619-2024 karta.png", "A 5619-2024")</f>
        <v/>
      </c>
      <c r="Y15">
        <f>HYPERLINK("https://klasma.github.io/Logging_1266/kartor_geotiff/A 5619-2024 georefererad karta.tif", "A 5619-2024")</f>
        <v/>
      </c>
      <c r="AA15">
        <f>HYPERLINK("https://klasma.github.io/Logging_1266/klagomål/A 5619-2024 FSC-klagomål.docx", "A 5619-2024")</f>
        <v/>
      </c>
      <c r="AB15">
        <f>HYPERLINK("https://klasma.github.io/Logging_1266/klagomålsmail/A 5619-2024 FSC-klagomål mail.docx", "A 5619-2024")</f>
        <v/>
      </c>
      <c r="AC15">
        <f>HYPERLINK("https://klasma.github.io/Logging_1266/tillsyn/A 5619-2024 tillsynsbegäran.docx", "A 5619-2024")</f>
        <v/>
      </c>
      <c r="AD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46230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Vårärt
Strutbräken
Vätteros</t>
        </is>
      </c>
      <c r="W16">
        <f>HYPERLINK("https://klasma.github.io/Logging_1266/artfynd/A 20193-2024 artfynd.xlsx", "A 20193-2024")</f>
        <v/>
      </c>
      <c r="X16">
        <f>HYPERLINK("https://klasma.github.io/Logging_1266/kartor/A 20193-2024 karta.png", "A 20193-2024")</f>
        <v/>
      </c>
      <c r="Y16">
        <f>HYPERLINK("https://klasma.github.io/Logging_1266/kartor_geotiff/A 20193-2024 georefererad karta.tif", "A 20193-2024")</f>
        <v/>
      </c>
      <c r="AA16">
        <f>HYPERLINK("https://klasma.github.io/Logging_1266/klagomål/A 20193-2024 FSC-klagomål.docx", "A 20193-2024")</f>
        <v/>
      </c>
      <c r="AB16">
        <f>HYPERLINK("https://klasma.github.io/Logging_1266/klagomålsmail/A 20193-2024 FSC-klagomål mail.docx", "A 20193-2024")</f>
        <v/>
      </c>
      <c r="AC16">
        <f>HYPERLINK("https://klasma.github.io/Logging_1266/tillsyn/A 20193-2024 tillsynsbegäran.docx", "A 20193-2024")</f>
        <v/>
      </c>
      <c r="AD16">
        <f>HYPERLINK("https://klasma.github.io/Logging_1266/tillsynsmail/A 20193-2024 tillsynsbegäran mail.docx", "A 20193-2024")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46230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46230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2823-2025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45677</v>
      </c>
      <c r="E20" s="1" t="n">
        <v>46230</v>
      </c>
      <c r="F20" t="inlineStr">
        <is>
          <t>SKÅNE LÄN</t>
        </is>
      </c>
      <c r="G20" t="inlineStr">
        <is>
          <t>HÖRBY</t>
        </is>
      </c>
      <c r="I20" t="n">
        <v>21.1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Borsttåg
Grönvit nattviol
Revlummer</t>
        </is>
      </c>
      <c r="W20">
        <f>HYPERLINK("https://klasma.github.io/Logging_1266/artfynd/A 2823-2025 artfynd.xlsx", "A 2823-2025")</f>
        <v/>
      </c>
      <c r="X20">
        <f>HYPERLINK("https://klasma.github.io/Logging_1266/kartor/A 2823-2025 karta.png", "A 2823-2025")</f>
        <v/>
      </c>
      <c r="Y20">
        <f>HYPERLINK("https://klasma.github.io/Logging_1266/kartor_geotiff/A 2823-2025 georefererad karta.tif", "A 2823-2025")</f>
        <v/>
      </c>
      <c r="AA20">
        <f>HYPERLINK("https://klasma.github.io/Logging_1266/klagomål/A 2823-2025 FSC-klagomål.docx", "A 2823-2025")</f>
        <v/>
      </c>
      <c r="AB20">
        <f>HYPERLINK("https://klasma.github.io/Logging_1266/klagomålsmail/A 2823-2025 FSC-klagomål mail.docx", "A 2823-2025")</f>
        <v/>
      </c>
      <c r="AC20">
        <f>HYPERLINK("https://klasma.github.io/Logging_1266/tillsyn/A 2823-2025 tillsynsbegäran.docx", "A 2823-2025")</f>
        <v/>
      </c>
      <c r="AD20">
        <f>HYPERLINK("https://klasma.github.io/Logging_1266/tillsynsmail/A 2823-2025 tillsynsbegäran mail.docx", "A 2823-2025")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46230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46230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46230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46230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46230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46230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HYPERLINK("https://klasma.github.io/Logging_1266/artfynd/A 47612-2023 artfynd.xlsx", "A 47612-2023")</f>
        <v/>
      </c>
      <c r="X26">
        <f>HYPERLINK("https://klasma.github.io/Logging_1266/kartor/A 47612-2023 karta.png", "A 47612-2023")</f>
        <v/>
      </c>
      <c r="Y26">
        <f>HYPERLINK("https://klasma.github.io/Logging_1266/kartor_geotiff/A 47612-2023 georefererad karta.tif", "A 47612-2023")</f>
        <v/>
      </c>
      <c r="AA26">
        <f>HYPERLINK("https://klasma.github.io/Logging_1266/klagomål/A 47612-2023 FSC-klagomål.docx", "A 47612-2023")</f>
        <v/>
      </c>
      <c r="AB26">
        <f>HYPERLINK("https://klasma.github.io/Logging_1266/klagomålsmail/A 47612-2023 FSC-klagomål mail.docx", "A 47612-2023")</f>
        <v/>
      </c>
      <c r="AC26">
        <f>HYPERLINK("https://klasma.github.io/Logging_1266/tillsyn/A 47612-2023 tillsynsbegäran.docx", "A 47612-2023")</f>
        <v/>
      </c>
      <c r="AD26">
        <f>HYPERLINK("https://klasma.github.io/Logging_1266/tillsynsmail/A 47612-2023 tillsynsbegäran mail.docx", "A 47612-2023")</f>
        <v/>
      </c>
    </row>
    <row r="27" ht="15" customHeight="1">
      <c r="A27" t="inlineStr">
        <is>
          <t>A 40376-2023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45169</v>
      </c>
      <c r="E27" s="1" t="n">
        <v>46230</v>
      </c>
      <c r="F27" t="inlineStr">
        <is>
          <t>SKÅNE LÄN</t>
        </is>
      </c>
      <c r="G27" t="inlineStr">
        <is>
          <t>HÖRBY</t>
        </is>
      </c>
      <c r="I27" t="n">
        <v>2.7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Talltita</t>
        </is>
      </c>
      <c r="W27">
        <f>HYPERLINK("https://klasma.github.io/Logging_1266/artfynd/A 40376-2023 artfynd.xlsx", "A 40376-2023")</f>
        <v/>
      </c>
      <c r="X27">
        <f>HYPERLINK("https://klasma.github.io/Logging_1266/kartor/A 40376-2023 karta.png", "A 40376-2023")</f>
        <v/>
      </c>
      <c r="Y27">
        <f>HYPERLINK("https://klasma.github.io/Logging_1266/kartor_geotiff/A 40376-2023 georefererad karta.tif", "A 40376-2023")</f>
        <v/>
      </c>
      <c r="AA27">
        <f>HYPERLINK("https://klasma.github.io/Logging_1266/klagomål/A 40376-2023 FSC-klagomål.docx", "A 40376-2023")</f>
        <v/>
      </c>
      <c r="AB27">
        <f>HYPERLINK("https://klasma.github.io/Logging_1266/klagomålsmail/A 40376-2023 FSC-klagomål mail.docx", "A 40376-2023")</f>
        <v/>
      </c>
      <c r="AC27">
        <f>HYPERLINK("https://klasma.github.io/Logging_1266/tillsyn/A 40376-2023 tillsynsbegäran.docx", "A 40376-2023")</f>
        <v/>
      </c>
      <c r="AD27">
        <f>HYPERLINK("https://klasma.github.io/Logging_1266/tillsynsmail/A 40376-2023 tillsynsbegäran mail.docx", "A 40376-2023")</f>
        <v/>
      </c>
      <c r="AE27">
        <f>HYPERLINK("https://klasma.github.io/Logging_1266/fåglar/A 40376-2023 prioriterade fågelarter.docx", "A 40376-2023")</f>
        <v/>
      </c>
    </row>
    <row r="28" ht="15" customHeight="1">
      <c r="A28" t="inlineStr">
        <is>
          <t>A 113-2023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46230</v>
      </c>
      <c r="F28" t="inlineStr">
        <is>
          <t>SKÅNE LÄN</t>
        </is>
      </c>
      <c r="G28" t="inlineStr">
        <is>
          <t>HÖRBY</t>
        </is>
      </c>
      <c r="I28" t="n">
        <v>5.1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HYPERLINK("https://klasma.github.io/Logging_1266/artfynd/A 113-2023 artfynd.xlsx", "A 113-2023")</f>
        <v/>
      </c>
      <c r="X28">
        <f>HYPERLINK("https://klasma.github.io/Logging_1266/kartor/A 113-2023 karta.png", "A 113-2023")</f>
        <v/>
      </c>
      <c r="Y28">
        <f>HYPERLINK("https://klasma.github.io/Logging_1266/kartor_geotiff/A 113-2023 georefererad karta.tif", "A 113-2023")</f>
        <v/>
      </c>
      <c r="AA28">
        <f>HYPERLINK("https://klasma.github.io/Logging_1266/klagomål/A 113-2023 FSC-klagomål.docx", "A 113-2023")</f>
        <v/>
      </c>
      <c r="AB28">
        <f>HYPERLINK("https://klasma.github.io/Logging_1266/klagomålsmail/A 113-2023 FSC-klagomål mail.docx", "A 113-2023")</f>
        <v/>
      </c>
      <c r="AC28">
        <f>HYPERLINK("https://klasma.github.io/Logging_1266/tillsyn/A 113-2023 tillsynsbegäran.docx", "A 113-2023")</f>
        <v/>
      </c>
      <c r="AD28">
        <f>HYPERLINK("https://klasma.github.io/Logging_1266/tillsynsmail/A 113-2023 tillsynsbegäran mail.docx", "A 113-2023")</f>
        <v/>
      </c>
    </row>
    <row r="29" ht="15" customHeight="1">
      <c r="A29" t="inlineStr">
        <is>
          <t>A 25833-2024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46230</v>
      </c>
      <c r="F29" t="inlineStr">
        <is>
          <t>SKÅNE LÄN</t>
        </is>
      </c>
      <c r="G29" t="inlineStr">
        <is>
          <t>HÖRBY</t>
        </is>
      </c>
      <c r="I29" t="n">
        <v>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HYPERLINK("https://klasma.github.io/Logging_1266/artfynd/A 25833-2024 artfynd.xlsx", "A 25833-2024")</f>
        <v/>
      </c>
      <c r="X29">
        <f>HYPERLINK("https://klasma.github.io/Logging_1266/kartor/A 25833-2024 karta.png", "A 25833-2024")</f>
        <v/>
      </c>
      <c r="Y29">
        <f>HYPERLINK("https://klasma.github.io/Logging_1266/kartor_geotiff/A 25833-2024 georefererad karta.tif", "A 25833-2024")</f>
        <v/>
      </c>
      <c r="AA29">
        <f>HYPERLINK("https://klasma.github.io/Logging_1266/klagomål/A 25833-2024 FSC-klagomål.docx", "A 25833-2024")</f>
        <v/>
      </c>
      <c r="AB29">
        <f>HYPERLINK("https://klasma.github.io/Logging_1266/klagomålsmail/A 25833-2024 FSC-klagomål mail.docx", "A 25833-2024")</f>
        <v/>
      </c>
      <c r="AC29">
        <f>HYPERLINK("https://klasma.github.io/Logging_1266/tillsyn/A 25833-2024 tillsynsbegäran.docx", "A 25833-2024")</f>
        <v/>
      </c>
      <c r="AD29">
        <f>HYPERLINK("https://klasma.github.io/Logging_1266/tillsynsmail/A 25833-2024 tillsynsbegäran mail.docx", "A 25833-2024")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46230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46230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30165-2026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46230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30165-2026 artfynd.xlsx", "A 30165-2026")</f>
        <v/>
      </c>
      <c r="X32">
        <f>HYPERLINK("https://klasma.github.io/Logging_1266/kartor/A 30165-2026 karta.png", "A 30165-2026")</f>
        <v/>
      </c>
      <c r="Y32">
        <f>HYPERLINK("https://klasma.github.io/Logging_1266/kartor_geotiff/A 30165-2026 georefererad karta.tif", "A 30165-2026")</f>
        <v/>
      </c>
      <c r="AA32">
        <f>HYPERLINK("https://klasma.github.io/Logging_1266/klagomål/A 30165-2026 FSC-klagomål.docx", "A 30165-2026")</f>
        <v/>
      </c>
      <c r="AB32">
        <f>HYPERLINK("https://klasma.github.io/Logging_1266/klagomålsmail/A 30165-2026 FSC-klagomål mail.docx", "A 30165-2026")</f>
        <v/>
      </c>
      <c r="AC32">
        <f>HYPERLINK("https://klasma.github.io/Logging_1266/tillsyn/A 30165-2026 tillsynsbegäran.docx", "A 30165-2026")</f>
        <v/>
      </c>
      <c r="AD32">
        <f>HYPERLINK("https://klasma.github.io/Logging_1266/tillsynsmail/A 30165-2026 tillsynsbegäran mail.docx", "A 30165-2026")</f>
        <v/>
      </c>
    </row>
    <row r="33" ht="15" customHeight="1">
      <c r="A33" t="inlineStr">
        <is>
          <t>A 29129-2026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46230</v>
      </c>
      <c r="F33" t="inlineStr">
        <is>
          <t>SKÅNE LÄN</t>
        </is>
      </c>
      <c r="G33" t="inlineStr">
        <is>
          <t>HÖRBY</t>
        </is>
      </c>
      <c r="H33" t="inlineStr">
        <is>
          <t>Sveaskog</t>
        </is>
      </c>
      <c r="I33" t="n">
        <v>10.5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Ekticka</t>
        </is>
      </c>
      <c r="W33">
        <f>HYPERLINK("https://klasma.github.io/Logging_1266/artfynd/A 29129-2026 artfynd.xlsx", "A 29129-2026")</f>
        <v/>
      </c>
      <c r="X33">
        <f>HYPERLINK("https://klasma.github.io/Logging_1266/kartor/A 29129-2026 karta.png", "A 29129-2026")</f>
        <v/>
      </c>
      <c r="Y33">
        <f>HYPERLINK("https://klasma.github.io/Logging_1266/kartor_geotiff/A 29129-2026 georefererad karta.tif", "A 29129-2026")</f>
        <v/>
      </c>
      <c r="AA33">
        <f>HYPERLINK("https://klasma.github.io/Logging_1266/klagomål/A 29129-2026 FSC-klagomål.docx", "A 29129-2026")</f>
        <v/>
      </c>
      <c r="AB33">
        <f>HYPERLINK("https://klasma.github.io/Logging_1266/klagomålsmail/A 29129-2026 FSC-klagomål mail.docx", "A 29129-2026")</f>
        <v/>
      </c>
      <c r="AC33">
        <f>HYPERLINK("https://klasma.github.io/Logging_1266/tillsyn/A 29129-2026 tillsynsbegäran.docx", "A 29129-2026")</f>
        <v/>
      </c>
      <c r="AD33">
        <f>HYPERLINK("https://klasma.github.io/Logging_1266/tillsynsmail/A 29129-2026 tillsynsbegäran mail.docx", "A 29129-2026")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46230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16519-2026 artfynd.xlsx", "A 16519-2026")</f>
        <v/>
      </c>
      <c r="X34">
        <f>HYPERLINK("https://klasma.github.io/Logging_1266/kartor/A 16519-2026 karta.png", "A 16519-2026")</f>
        <v/>
      </c>
      <c r="Y34">
        <f>HYPERLINK("https://klasma.github.io/Logging_1266/kartor_geotiff/A 16519-2026 georefererad karta.tif", "A 16519-2026")</f>
        <v/>
      </c>
      <c r="AA34">
        <f>HYPERLINK("https://klasma.github.io/Logging_1266/klagomål/A 16519-2026 FSC-klagomål.docx", "A 16519-2026")</f>
        <v/>
      </c>
      <c r="AB34">
        <f>HYPERLINK("https://klasma.github.io/Logging_1266/klagomålsmail/A 16519-2026 FSC-klagomål mail.docx", "A 16519-2026")</f>
        <v/>
      </c>
      <c r="AC34">
        <f>HYPERLINK("https://klasma.github.io/Logging_1266/tillsyn/A 16519-2026 tillsynsbegäran.docx", "A 16519-2026")</f>
        <v/>
      </c>
      <c r="AD34">
        <f>HYPERLINK("https://klasma.github.io/Logging_1266/tillsynsmail/A 16519-2026 tillsynsbegäran mail.docx", "A 16519-2026")</f>
        <v/>
      </c>
    </row>
    <row r="35" ht="15" customHeight="1">
      <c r="A35" t="inlineStr">
        <is>
          <t>A 21713-2025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45783</v>
      </c>
      <c r="E35" s="1" t="n">
        <v>46230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HYPERLINK("https://klasma.github.io/Logging_1266/artfynd/A 21713-2025 artfynd.xlsx", "A 21713-2025")</f>
        <v/>
      </c>
      <c r="X35">
        <f>HYPERLINK("https://klasma.github.io/Logging_1266/kartor/A 21713-2025 karta.png", "A 21713-2025")</f>
        <v/>
      </c>
      <c r="Y35">
        <f>HYPERLINK("https://klasma.github.io/Logging_1266/kartor_geotiff/A 21713-2025 georefererad karta.tif", "A 21713-2025")</f>
        <v/>
      </c>
      <c r="AA35">
        <f>HYPERLINK("https://klasma.github.io/Logging_1266/klagomål/A 21713-2025 FSC-klagomål.docx", "A 21713-2025")</f>
        <v/>
      </c>
      <c r="AB35">
        <f>HYPERLINK("https://klasma.github.io/Logging_1266/klagomålsmail/A 21713-2025 FSC-klagomål mail.docx", "A 21713-2025")</f>
        <v/>
      </c>
      <c r="AC35">
        <f>HYPERLINK("https://klasma.github.io/Logging_1266/tillsyn/A 21713-2025 tillsynsbegäran.docx", "A 21713-2025")</f>
        <v/>
      </c>
      <c r="AD35">
        <f>HYPERLINK("https://klasma.github.io/Logging_1266/tillsynsmail/A 21713-2025 tillsynsbegäran mail.docx", "A 21713-2025")</f>
        <v/>
      </c>
    </row>
    <row r="36" ht="15" customHeight="1">
      <c r="A36" t="inlineStr">
        <is>
          <t>A 25479-2025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45802</v>
      </c>
      <c r="E36" s="1" t="n">
        <v>46230</v>
      </c>
      <c r="F36" t="inlineStr">
        <is>
          <t>SKÅNE LÄN</t>
        </is>
      </c>
      <c r="G36" t="inlineStr">
        <is>
          <t>HÖRBY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Lundvårlök</t>
        </is>
      </c>
      <c r="W36">
        <f>HYPERLINK("https://klasma.github.io/Logging_1266/artfynd/A 25479-2025 artfynd.xlsx", "A 25479-2025")</f>
        <v/>
      </c>
      <c r="X36">
        <f>HYPERLINK("https://klasma.github.io/Logging_1266/kartor/A 25479-2025 karta.png", "A 25479-2025")</f>
        <v/>
      </c>
      <c r="Y36">
        <f>HYPERLINK("https://klasma.github.io/Logging_1266/kartor_geotiff/A 25479-2025 georefererad karta.tif", "A 25479-2025")</f>
        <v/>
      </c>
      <c r="AA36">
        <f>HYPERLINK("https://klasma.github.io/Logging_1266/klagomål/A 25479-2025 FSC-klagomål.docx", "A 25479-2025")</f>
        <v/>
      </c>
      <c r="AB36">
        <f>HYPERLINK("https://klasma.github.io/Logging_1266/klagomålsmail/A 25479-2025 FSC-klagomål mail.docx", "A 25479-2025")</f>
        <v/>
      </c>
      <c r="AC36">
        <f>HYPERLINK("https://klasma.github.io/Logging_1266/tillsyn/A 25479-2025 tillsynsbegäran.docx", "A 25479-2025")</f>
        <v/>
      </c>
      <c r="AD36">
        <f>HYPERLINK("https://klasma.github.io/Logging_1266/tillsynsmail/A 25479-2025 tillsynsbegäran mail.docx", "A 25479-2025")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46230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46230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46230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46230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46230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46230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46230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46230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46230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46230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46230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46230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3471-2025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46230</v>
      </c>
      <c r="F53" t="inlineStr">
        <is>
          <t>SKÅNE LÄN</t>
        </is>
      </c>
      <c r="G53" t="inlineStr">
        <is>
          <t>HÖRBY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45128</v>
      </c>
      <c r="E54" s="1" t="n">
        <v>46230</v>
      </c>
      <c r="F54" t="inlineStr">
        <is>
          <t>SKÅNE LÄN</t>
        </is>
      </c>
      <c r="G54" t="inlineStr">
        <is>
          <t>HÖRBY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46230</v>
      </c>
      <c r="F55" t="inlineStr">
        <is>
          <t>SKÅNE LÄN</t>
        </is>
      </c>
      <c r="G55" t="inlineStr">
        <is>
          <t>HÖRBY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46230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46230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46230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46230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46230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46230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45688</v>
      </c>
      <c r="E62" s="1" t="n">
        <v>46230</v>
      </c>
      <c r="F62" t="inlineStr">
        <is>
          <t>SKÅNE LÄN</t>
        </is>
      </c>
      <c r="G62" t="inlineStr">
        <is>
          <t>HÖRBY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46230</v>
      </c>
      <c r="F63" t="inlineStr">
        <is>
          <t>SKÅNE LÄN</t>
        </is>
      </c>
      <c r="G63" t="inlineStr">
        <is>
          <t>HÖRBY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46230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46230</v>
      </c>
      <c r="F65" t="inlineStr">
        <is>
          <t>SKÅNE LÄN</t>
        </is>
      </c>
      <c r="G65" t="inlineStr">
        <is>
          <t>HÖRBY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47641-2023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45203</v>
      </c>
      <c r="E66" s="1" t="n">
        <v>46230</v>
      </c>
      <c r="F66" t="inlineStr">
        <is>
          <t>SKÅNE LÄN</t>
        </is>
      </c>
      <c r="G66" t="inlineStr">
        <is>
          <t>HÖRBY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46230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46230</v>
      </c>
      <c r="F68" t="inlineStr">
        <is>
          <t>SKÅNE LÄN</t>
        </is>
      </c>
      <c r="G68" t="inlineStr">
        <is>
          <t>HÖRBY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39507-2024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45551</v>
      </c>
      <c r="E69" s="1" t="n">
        <v>46230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46230</v>
      </c>
      <c r="F70" t="inlineStr">
        <is>
          <t>SKÅNE LÄN</t>
        </is>
      </c>
      <c r="G70" t="inlineStr">
        <is>
          <t>HÖRBY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11943-2025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45728</v>
      </c>
      <c r="E71" s="1" t="n">
        <v>46230</v>
      </c>
      <c r="F71" t="inlineStr">
        <is>
          <t>SKÅNE LÄN</t>
        </is>
      </c>
      <c r="G71" t="inlineStr">
        <is>
          <t>HÖRBY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9974-2024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45363</v>
      </c>
      <c r="E72" s="1" t="n">
        <v>46230</v>
      </c>
      <c r="F72" t="inlineStr">
        <is>
          <t>SKÅNE LÄN</t>
        </is>
      </c>
      <c r="G72" t="inlineStr">
        <is>
          <t>HÖRBY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46230</v>
      </c>
      <c r="F73" t="inlineStr">
        <is>
          <t>SKÅNE LÄN</t>
        </is>
      </c>
      <c r="G73" t="inlineStr">
        <is>
          <t>HÖRBY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28918-2023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45104</v>
      </c>
      <c r="E74" s="1" t="n">
        <v>46230</v>
      </c>
      <c r="F74" t="inlineStr">
        <is>
          <t>SKÅNE LÄN</t>
        </is>
      </c>
      <c r="G74" t="inlineStr">
        <is>
          <t>HÖRBY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43932-2023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45187</v>
      </c>
      <c r="E75" s="1" t="n">
        <v>46230</v>
      </c>
      <c r="F75" t="inlineStr">
        <is>
          <t>SKÅNE LÄN</t>
        </is>
      </c>
      <c r="G75" t="inlineStr">
        <is>
          <t>HÖRBY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43935-2023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46230</v>
      </c>
      <c r="F76" t="inlineStr">
        <is>
          <t>SKÅNE LÄN</t>
        </is>
      </c>
      <c r="G76" t="inlineStr">
        <is>
          <t>HÖRBY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44944</v>
      </c>
      <c r="E77" s="1" t="n">
        <v>46230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46230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44608</v>
      </c>
      <c r="E79" s="1" t="n">
        <v>46230</v>
      </c>
      <c r="F79" t="inlineStr">
        <is>
          <t>SKÅNE LÄN</t>
        </is>
      </c>
      <c r="G79" t="inlineStr">
        <is>
          <t>HÖRBY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45572</v>
      </c>
      <c r="E80" s="1" t="n">
        <v>46230</v>
      </c>
      <c r="F80" t="inlineStr">
        <is>
          <t>SKÅNE LÄN</t>
        </is>
      </c>
      <c r="G80" t="inlineStr">
        <is>
          <t>HÖRBY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46230</v>
      </c>
      <c r="F81" t="inlineStr">
        <is>
          <t>SKÅNE LÄN</t>
        </is>
      </c>
      <c r="G81" t="inlineStr">
        <is>
          <t>HÖRBY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46230</v>
      </c>
      <c r="F82" t="inlineStr">
        <is>
          <t>SKÅNE LÄN</t>
        </is>
      </c>
      <c r="G82" t="inlineStr">
        <is>
          <t>HÖRBY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46230</v>
      </c>
      <c r="F83" t="inlineStr">
        <is>
          <t>SKÅNE LÄN</t>
        </is>
      </c>
      <c r="G83" t="inlineStr">
        <is>
          <t>HÖRBY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25552-2025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45803</v>
      </c>
      <c r="E84" s="1" t="n">
        <v>46230</v>
      </c>
      <c r="F84" t="inlineStr">
        <is>
          <t>SKÅNE LÄN</t>
        </is>
      </c>
      <c r="G84" t="inlineStr">
        <is>
          <t>HÖRBY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46230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45882</v>
      </c>
      <c r="E86" s="1" t="n">
        <v>46230</v>
      </c>
      <c r="F86" t="inlineStr">
        <is>
          <t>SKÅNE LÄN</t>
        </is>
      </c>
      <c r="G86" t="inlineStr">
        <is>
          <t>HÖRBY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37082-2023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45155</v>
      </c>
      <c r="E87" s="1" t="n">
        <v>46230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45226</v>
      </c>
      <c r="E88" s="1" t="n">
        <v>46230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45103</v>
      </c>
      <c r="E89" s="1" t="n">
        <v>46230</v>
      </c>
      <c r="F89" t="inlineStr">
        <is>
          <t>SKÅNE LÄN</t>
        </is>
      </c>
      <c r="G89" t="inlineStr">
        <is>
          <t>HÖRBY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38080-2024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46230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46230</v>
      </c>
      <c r="F91" t="inlineStr">
        <is>
          <t>SKÅNE LÄN</t>
        </is>
      </c>
      <c r="G91" t="inlineStr">
        <is>
          <t>HÖRBY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46230</v>
      </c>
      <c r="F92" t="inlineStr">
        <is>
          <t>SKÅNE LÄN</t>
        </is>
      </c>
      <c r="G92" t="inlineStr">
        <is>
          <t>HÖRBY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28493-2023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45103</v>
      </c>
      <c r="E93" s="1" t="n">
        <v>46230</v>
      </c>
      <c r="F93" t="inlineStr">
        <is>
          <t>SKÅNE LÄN</t>
        </is>
      </c>
      <c r="G93" t="inlineStr">
        <is>
          <t>HÖRBY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34154-2025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45845</v>
      </c>
      <c r="E94" s="1" t="n">
        <v>46230</v>
      </c>
      <c r="F94" t="inlineStr">
        <is>
          <t>SKÅNE LÄN</t>
        </is>
      </c>
      <c r="G94" t="inlineStr">
        <is>
          <t>HÖRBY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65073-2023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45287</v>
      </c>
      <c r="E95" s="1" t="n">
        <v>46230</v>
      </c>
      <c r="F95" t="inlineStr">
        <is>
          <t>SKÅNE LÄN</t>
        </is>
      </c>
      <c r="G95" t="inlineStr">
        <is>
          <t>HÖRBY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46230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45203</v>
      </c>
      <c r="E97" s="1" t="n">
        <v>46230</v>
      </c>
      <c r="F97" t="inlineStr">
        <is>
          <t>SKÅNE LÄN</t>
        </is>
      </c>
      <c r="G97" t="inlineStr">
        <is>
          <t>HÖRBY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46230</v>
      </c>
      <c r="F98" t="inlineStr">
        <is>
          <t>SKÅNE LÄN</t>
        </is>
      </c>
      <c r="G98" t="inlineStr">
        <is>
          <t>HÖRBY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43882-2023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46230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45076</v>
      </c>
      <c r="E100" s="1" t="n">
        <v>46230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67426-2021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46230</v>
      </c>
      <c r="F101" t="inlineStr">
        <is>
          <t>SKÅNE LÄN</t>
        </is>
      </c>
      <c r="G101" t="inlineStr">
        <is>
          <t>HÖRBY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44946</v>
      </c>
      <c r="E102" s="1" t="n">
        <v>46230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45261</v>
      </c>
      <c r="E103" s="1" t="n">
        <v>46230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34147-2025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46230</v>
      </c>
      <c r="F104" t="inlineStr">
        <is>
          <t>SKÅNE LÄN</t>
        </is>
      </c>
      <c r="G104" t="inlineStr">
        <is>
          <t>HÖRBY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50200-2025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45943</v>
      </c>
      <c r="E105" s="1" t="n">
        <v>46230</v>
      </c>
      <c r="F105" t="inlineStr">
        <is>
          <t>SKÅNE LÄN</t>
        </is>
      </c>
      <c r="G105" t="inlineStr">
        <is>
          <t>HÖRBY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43685-2022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44837</v>
      </c>
      <c r="E106" s="1" t="n">
        <v>46230</v>
      </c>
      <c r="F106" t="inlineStr">
        <is>
          <t>SKÅNE LÄN</t>
        </is>
      </c>
      <c r="G106" t="inlineStr">
        <is>
          <t>HÖRBY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51757-2025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45951</v>
      </c>
      <c r="E107" s="1" t="n">
        <v>46230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55265-2023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46230</v>
      </c>
      <c r="F108" t="inlineStr">
        <is>
          <t>SKÅNE LÄN</t>
        </is>
      </c>
      <c r="G108" t="inlineStr">
        <is>
          <t>HÖRBY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46230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45957</v>
      </c>
      <c r="E110" s="1" t="n">
        <v>46230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46230</v>
      </c>
      <c r="F111" t="inlineStr">
        <is>
          <t>SKÅNE LÄN</t>
        </is>
      </c>
      <c r="G111" t="inlineStr">
        <is>
          <t>HÖRBY</t>
        </is>
      </c>
      <c r="H111" t="inlineStr">
        <is>
          <t>Kyrkan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18603-2025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46230</v>
      </c>
      <c r="F112" t="inlineStr">
        <is>
          <t>SKÅNE LÄN</t>
        </is>
      </c>
      <c r="G112" t="inlineStr">
        <is>
          <t>HÖRBY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54765-2025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45966</v>
      </c>
      <c r="E113" s="1" t="n">
        <v>46230</v>
      </c>
      <c r="F113" t="inlineStr">
        <is>
          <t>SKÅNE LÄN</t>
        </is>
      </c>
      <c r="G113" t="inlineStr">
        <is>
          <t>HÖRBY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55304-2025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45970</v>
      </c>
      <c r="E114" s="1" t="n">
        <v>46230</v>
      </c>
      <c r="F114" t="inlineStr">
        <is>
          <t>SKÅNE LÄN</t>
        </is>
      </c>
      <c r="G114" t="inlineStr">
        <is>
          <t>HÖRBY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55306-2025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45970</v>
      </c>
      <c r="E115" s="1" t="n">
        <v>46230</v>
      </c>
      <c r="F115" t="inlineStr">
        <is>
          <t>SKÅNE LÄN</t>
        </is>
      </c>
      <c r="G115" t="inlineStr">
        <is>
          <t>HÖRBY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40994-2025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46230</v>
      </c>
      <c r="F116" t="inlineStr">
        <is>
          <t>SKÅNE LÄN</t>
        </is>
      </c>
      <c r="G116" t="inlineStr">
        <is>
          <t>HÖRBY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46230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20595-2024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45436</v>
      </c>
      <c r="E118" s="1" t="n">
        <v>46230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45979</v>
      </c>
      <c r="E119" s="1" t="n">
        <v>46230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46230</v>
      </c>
      <c r="F120" t="inlineStr">
        <is>
          <t>SKÅNE LÄN</t>
        </is>
      </c>
      <c r="G120" t="inlineStr">
        <is>
          <t>HÖRBY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46230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46230</v>
      </c>
      <c r="F122" t="inlineStr">
        <is>
          <t>SKÅNE LÄN</t>
        </is>
      </c>
      <c r="G122" t="inlineStr">
        <is>
          <t>HÖRBY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46230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46230</v>
      </c>
      <c r="F124" t="inlineStr">
        <is>
          <t>SKÅNE LÄN</t>
        </is>
      </c>
      <c r="G124" t="inlineStr">
        <is>
          <t>HÖRBY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45989</v>
      </c>
      <c r="E125" s="1" t="n">
        <v>46230</v>
      </c>
      <c r="F125" t="inlineStr">
        <is>
          <t>SKÅNE LÄN</t>
        </is>
      </c>
      <c r="G125" t="inlineStr">
        <is>
          <t>HÖRBY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46230</v>
      </c>
      <c r="F126" t="inlineStr">
        <is>
          <t>SKÅNE LÄN</t>
        </is>
      </c>
      <c r="G126" t="inlineStr">
        <is>
          <t>HÖRBY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37276-2024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45540</v>
      </c>
      <c r="E127" s="1" t="n">
        <v>46230</v>
      </c>
      <c r="F127" t="inlineStr">
        <is>
          <t>SKÅNE LÄN</t>
        </is>
      </c>
      <c r="G127" t="inlineStr">
        <is>
          <t>HÖRBY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36689-2024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45537</v>
      </c>
      <c r="E128" s="1" t="n">
        <v>46230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9.5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46230</v>
      </c>
      <c r="F129" t="inlineStr">
        <is>
          <t>SKÅNE LÄN</t>
        </is>
      </c>
      <c r="G129" t="inlineStr">
        <is>
          <t>HÖRBY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31522-2022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46230</v>
      </c>
      <c r="F130" t="inlineStr">
        <is>
          <t>SKÅNE LÄN</t>
        </is>
      </c>
      <c r="G130" t="inlineStr">
        <is>
          <t>HÖRBY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45616</v>
      </c>
      <c r="E131" s="1" t="n">
        <v>46230</v>
      </c>
      <c r="F131" t="inlineStr">
        <is>
          <t>SKÅNE LÄN</t>
        </is>
      </c>
      <c r="G131" t="inlineStr">
        <is>
          <t>HÖRBY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46230</v>
      </c>
      <c r="F132" t="inlineStr">
        <is>
          <t>SKÅNE LÄN</t>
        </is>
      </c>
      <c r="G132" t="inlineStr">
        <is>
          <t>HÖRBY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45572</v>
      </c>
      <c r="E133" s="1" t="n">
        <v>46230</v>
      </c>
      <c r="F133" t="inlineStr">
        <is>
          <t>SKÅNE LÄN</t>
        </is>
      </c>
      <c r="G133" t="inlineStr">
        <is>
          <t>HÖRBY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11941-2025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45728</v>
      </c>
      <c r="E134" s="1" t="n">
        <v>46230</v>
      </c>
      <c r="F134" t="inlineStr">
        <is>
          <t>SKÅNE LÄN</t>
        </is>
      </c>
      <c r="G134" t="inlineStr">
        <is>
          <t>HÖRBY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46230</v>
      </c>
      <c r="F135" t="inlineStr">
        <is>
          <t>SKÅNE LÄN</t>
        </is>
      </c>
      <c r="G135" t="inlineStr">
        <is>
          <t>HÖRBY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46230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46230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46230</v>
      </c>
      <c r="F138" t="inlineStr">
        <is>
          <t>SKÅNE LÄN</t>
        </is>
      </c>
      <c r="G138" t="inlineStr">
        <is>
          <t>HÖRBY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46030</v>
      </c>
      <c r="E139" s="1" t="n">
        <v>46230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46230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46230</v>
      </c>
      <c r="F141" t="inlineStr">
        <is>
          <t>SKÅNE LÄN</t>
        </is>
      </c>
      <c r="G141" t="inlineStr">
        <is>
          <t>HÖRBY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46230</v>
      </c>
      <c r="F142" t="inlineStr">
        <is>
          <t>SKÅNE LÄN</t>
        </is>
      </c>
      <c r="G142" t="inlineStr">
        <is>
          <t>HÖRBY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46230</v>
      </c>
      <c r="F143" t="inlineStr">
        <is>
          <t>SKÅNE LÄN</t>
        </is>
      </c>
      <c r="G143" t="inlineStr">
        <is>
          <t>HÖRBY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46230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29137-2026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46202</v>
      </c>
      <c r="E145" s="1" t="n">
        <v>46230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29138-2026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46202</v>
      </c>
      <c r="E146" s="1" t="n">
        <v>46230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46048</v>
      </c>
      <c r="E147" s="1" t="n">
        <v>46230</v>
      </c>
      <c r="F147" t="inlineStr">
        <is>
          <t>SKÅNE LÄN</t>
        </is>
      </c>
      <c r="G147" t="inlineStr">
        <is>
          <t>HÖRBY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46038</v>
      </c>
      <c r="E148" s="1" t="n">
        <v>46230</v>
      </c>
      <c r="F148" t="inlineStr">
        <is>
          <t>SKÅNE LÄN</t>
        </is>
      </c>
      <c r="G148" t="inlineStr">
        <is>
          <t>HÖRBY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46230</v>
      </c>
      <c r="F149" t="inlineStr">
        <is>
          <t>SKÅNE LÄN</t>
        </is>
      </c>
      <c r="G149" t="inlineStr">
        <is>
          <t>HÖRBY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29135-2026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46202</v>
      </c>
      <c r="E150" s="1" t="n">
        <v>46230</v>
      </c>
      <c r="F150" t="inlineStr">
        <is>
          <t>SKÅNE LÄN</t>
        </is>
      </c>
      <c r="G150" t="inlineStr">
        <is>
          <t>HÖRBY</t>
        </is>
      </c>
      <c r="H150" t="inlineStr">
        <is>
          <t>Sveaskog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46050</v>
      </c>
      <c r="E151" s="1" t="n">
        <v>46230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46230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49726-2023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45208</v>
      </c>
      <c r="E153" s="1" t="n">
        <v>46230</v>
      </c>
      <c r="F153" t="inlineStr">
        <is>
          <t>SKÅNE LÄN</t>
        </is>
      </c>
      <c r="G153" t="inlineStr">
        <is>
          <t>HÖRBY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45538</v>
      </c>
      <c r="E154" s="1" t="n">
        <v>46230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24724-2024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45460</v>
      </c>
      <c r="E155" s="1" t="n">
        <v>46230</v>
      </c>
      <c r="F155" t="inlineStr">
        <is>
          <t>SKÅNE LÄN</t>
        </is>
      </c>
      <c r="G155" t="inlineStr">
        <is>
          <t>HÖRBY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58641-2023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45251</v>
      </c>
      <c r="E156" s="1" t="n">
        <v>46230</v>
      </c>
      <c r="F156" t="inlineStr">
        <is>
          <t>SKÅNE LÄN</t>
        </is>
      </c>
      <c r="G156" t="inlineStr">
        <is>
          <t>HÖRBY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46230</v>
      </c>
      <c r="F157" t="inlineStr">
        <is>
          <t>SKÅNE LÄN</t>
        </is>
      </c>
      <c r="G157" t="inlineStr">
        <is>
          <t>HÖRBY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8310-2026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46064</v>
      </c>
      <c r="E158" s="1" t="n">
        <v>46230</v>
      </c>
      <c r="F158" t="inlineStr">
        <is>
          <t>SKÅNE LÄN</t>
        </is>
      </c>
      <c r="G158" t="inlineStr">
        <is>
          <t>HÖRBY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46230</v>
      </c>
      <c r="F159" t="inlineStr">
        <is>
          <t>SKÅNE LÄN</t>
        </is>
      </c>
      <c r="G159" t="inlineStr">
        <is>
          <t>HÖRBY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46064</v>
      </c>
      <c r="E160" s="1" t="n">
        <v>46230</v>
      </c>
      <c r="F160" t="inlineStr">
        <is>
          <t>SKÅNE LÄN</t>
        </is>
      </c>
      <c r="G160" t="inlineStr">
        <is>
          <t>HÖRBY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45405</v>
      </c>
      <c r="E161" s="1" t="n">
        <v>46230</v>
      </c>
      <c r="F161" t="inlineStr">
        <is>
          <t>SKÅNE LÄN</t>
        </is>
      </c>
      <c r="G161" t="inlineStr">
        <is>
          <t>HÖRBY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18735-2023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46230</v>
      </c>
      <c r="F162" t="inlineStr">
        <is>
          <t>SKÅNE LÄN</t>
        </is>
      </c>
      <c r="G162" t="inlineStr">
        <is>
          <t>HÖRBY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10110-2026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46074</v>
      </c>
      <c r="E163" s="1" t="n">
        <v>46230</v>
      </c>
      <c r="F163" t="inlineStr">
        <is>
          <t>SKÅNE LÄN</t>
        </is>
      </c>
      <c r="G163" t="inlineStr">
        <is>
          <t>HÖRBY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10731-2026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46230</v>
      </c>
      <c r="F164" t="inlineStr">
        <is>
          <t>SKÅNE LÄN</t>
        </is>
      </c>
      <c r="G164" t="inlineStr">
        <is>
          <t>HÖRBY</t>
        </is>
      </c>
      <c r="H164" t="inlineStr">
        <is>
          <t>Kyrkan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44959</v>
      </c>
      <c r="E165" s="1" t="n">
        <v>46230</v>
      </c>
      <c r="F165" t="inlineStr">
        <is>
          <t>SKÅNE LÄN</t>
        </is>
      </c>
      <c r="G165" t="inlineStr">
        <is>
          <t>HÖRBY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46230</v>
      </c>
      <c r="F166" t="inlineStr">
        <is>
          <t>SKÅNE LÄN</t>
        </is>
      </c>
      <c r="G166" t="inlineStr">
        <is>
          <t>HÖRBY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46230</v>
      </c>
      <c r="F167" t="inlineStr">
        <is>
          <t>SKÅNE LÄN</t>
        </is>
      </c>
      <c r="G167" t="inlineStr">
        <is>
          <t>HÖRBY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30934-2026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46213</v>
      </c>
      <c r="E168" s="1" t="n">
        <v>46230</v>
      </c>
      <c r="F168" t="inlineStr">
        <is>
          <t>SKÅNE LÄN</t>
        </is>
      </c>
      <c r="G168" t="inlineStr">
        <is>
          <t>HÖRBY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34422-2024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45525</v>
      </c>
      <c r="E169" s="1" t="n">
        <v>46230</v>
      </c>
      <c r="F169" t="inlineStr">
        <is>
          <t>SKÅNE LÄN</t>
        </is>
      </c>
      <c r="G169" t="inlineStr">
        <is>
          <t>HÖRBY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46230</v>
      </c>
      <c r="F170" t="inlineStr">
        <is>
          <t>SKÅNE LÄN</t>
        </is>
      </c>
      <c r="G170" t="inlineStr">
        <is>
          <t>HÖRBY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46099</v>
      </c>
      <c r="E171" s="1" t="n">
        <v>46230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46230</v>
      </c>
      <c r="F172" t="inlineStr">
        <is>
          <t>SKÅNE LÄN</t>
        </is>
      </c>
      <c r="G172" t="inlineStr">
        <is>
          <t>HÖRBY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46230</v>
      </c>
      <c r="F173" t="inlineStr">
        <is>
          <t>SKÅNE LÄN</t>
        </is>
      </c>
      <c r="G173" t="inlineStr">
        <is>
          <t>HÖRBY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46042</v>
      </c>
      <c r="E174" s="1" t="n">
        <v>46230</v>
      </c>
      <c r="F174" t="inlineStr">
        <is>
          <t>SKÅNE LÄN</t>
        </is>
      </c>
      <c r="G174" t="inlineStr">
        <is>
          <t>HÖRBY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46042</v>
      </c>
      <c r="E175" s="1" t="n">
        <v>46230</v>
      </c>
      <c r="F175" t="inlineStr">
        <is>
          <t>SKÅNE LÄN</t>
        </is>
      </c>
      <c r="G175" t="inlineStr">
        <is>
          <t>HÖRBY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3520-2026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46042</v>
      </c>
      <c r="E176" s="1" t="n">
        <v>46230</v>
      </c>
      <c r="F176" t="inlineStr">
        <is>
          <t>SKÅNE LÄN</t>
        </is>
      </c>
      <c r="G176" t="inlineStr">
        <is>
          <t>HÖRBY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31286-2026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46230</v>
      </c>
      <c r="F177" t="inlineStr">
        <is>
          <t>SKÅNE LÄN</t>
        </is>
      </c>
      <c r="G177" t="inlineStr">
        <is>
          <t>HÖRBY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9850-2026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46072</v>
      </c>
      <c r="E178" s="1" t="n">
        <v>46230</v>
      </c>
      <c r="F178" t="inlineStr">
        <is>
          <t>SKÅNE LÄN</t>
        </is>
      </c>
      <c r="G178" t="inlineStr">
        <is>
          <t>HÖRBY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46230</v>
      </c>
      <c r="F179" t="inlineStr">
        <is>
          <t>SKÅNE LÄN</t>
        </is>
      </c>
      <c r="G179" t="inlineStr">
        <is>
          <t>HÖRBY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45238</v>
      </c>
      <c r="E180" s="1" t="n">
        <v>46230</v>
      </c>
      <c r="F180" t="inlineStr">
        <is>
          <t>SKÅNE LÄN</t>
        </is>
      </c>
      <c r="G180" t="inlineStr">
        <is>
          <t>HÖRBY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46041</v>
      </c>
      <c r="E181" s="1" t="n">
        <v>46230</v>
      </c>
      <c r="F181" t="inlineStr">
        <is>
          <t>SKÅNE LÄN</t>
        </is>
      </c>
      <c r="G181" t="inlineStr">
        <is>
          <t>HÖRBY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23606-2026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46162</v>
      </c>
      <c r="E182" s="1" t="n">
        <v>46230</v>
      </c>
      <c r="F182" t="inlineStr">
        <is>
          <t>SKÅNE LÄN</t>
        </is>
      </c>
      <c r="G182" t="inlineStr">
        <is>
          <t>HÖRBY</t>
        </is>
      </c>
      <c r="I182" t="n">
        <v>9.4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46230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46059</v>
      </c>
      <c r="E184" s="1" t="n">
        <v>46230</v>
      </c>
      <c r="F184" t="inlineStr">
        <is>
          <t>SKÅNE LÄN</t>
        </is>
      </c>
      <c r="G184" t="inlineStr">
        <is>
          <t>HÖRBY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44693</v>
      </c>
      <c r="E185" s="1" t="n">
        <v>46230</v>
      </c>
      <c r="F185" t="inlineStr">
        <is>
          <t>SKÅNE LÄN</t>
        </is>
      </c>
      <c r="G185" t="inlineStr">
        <is>
          <t>HÖRBY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16518-2026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46112</v>
      </c>
      <c r="E186" s="1" t="n">
        <v>46230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46230</v>
      </c>
      <c r="F187" t="inlineStr">
        <is>
          <t>SKÅNE LÄN</t>
        </is>
      </c>
      <c r="G187" t="inlineStr">
        <is>
          <t>HÖRBY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55307-2025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45970</v>
      </c>
      <c r="E188" s="1" t="n">
        <v>46230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46230</v>
      </c>
      <c r="F189" t="inlineStr">
        <is>
          <t>SKÅNE LÄN</t>
        </is>
      </c>
      <c r="G189" t="inlineStr">
        <is>
          <t>HÖRBY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44928</v>
      </c>
      <c r="E190" s="1" t="n">
        <v>46230</v>
      </c>
      <c r="F190" t="inlineStr">
        <is>
          <t>SKÅNE LÄN</t>
        </is>
      </c>
      <c r="G190" t="inlineStr">
        <is>
          <t>HÖRBY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50715-2024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46230</v>
      </c>
      <c r="F191" t="inlineStr">
        <is>
          <t>SKÅNE LÄN</t>
        </is>
      </c>
      <c r="G191" t="inlineStr">
        <is>
          <t>HÖRBY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46230</v>
      </c>
      <c r="F192" t="inlineStr">
        <is>
          <t>SKÅNE LÄN</t>
        </is>
      </c>
      <c r="G192" t="inlineStr">
        <is>
          <t>HÖRBY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44810</v>
      </c>
      <c r="E193" s="1" t="n">
        <v>46230</v>
      </c>
      <c r="F193" t="inlineStr">
        <is>
          <t>SKÅNE LÄN</t>
        </is>
      </c>
      <c r="G193" t="inlineStr">
        <is>
          <t>HÖRBY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46230</v>
      </c>
      <c r="F194" t="inlineStr">
        <is>
          <t>SKÅNE LÄN</t>
        </is>
      </c>
      <c r="G194" t="inlineStr">
        <is>
          <t>HÖRBY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45521</v>
      </c>
      <c r="E195" s="1" t="n">
        <v>46230</v>
      </c>
      <c r="F195" t="inlineStr">
        <is>
          <t>SKÅNE LÄN</t>
        </is>
      </c>
      <c r="G195" t="inlineStr">
        <is>
          <t>HÖRBY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46230</v>
      </c>
      <c r="F196" t="inlineStr">
        <is>
          <t>SKÅNE LÄN</t>
        </is>
      </c>
      <c r="G196" t="inlineStr">
        <is>
          <t>HÖRBY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46230</v>
      </c>
      <c r="F197" t="inlineStr">
        <is>
          <t>SKÅNE LÄN</t>
        </is>
      </c>
      <c r="G197" t="inlineStr">
        <is>
          <t>HÖRBY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45405</v>
      </c>
      <c r="E198" s="1" t="n">
        <v>46230</v>
      </c>
      <c r="F198" t="inlineStr">
        <is>
          <t>SKÅNE LÄN</t>
        </is>
      </c>
      <c r="G198" t="inlineStr">
        <is>
          <t>HÖRBY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45405</v>
      </c>
      <c r="E199" s="1" t="n">
        <v>46230</v>
      </c>
      <c r="F199" t="inlineStr">
        <is>
          <t>SKÅNE LÄN</t>
        </is>
      </c>
      <c r="G199" t="inlineStr">
        <is>
          <t>HÖRBY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45502</v>
      </c>
      <c r="E200" s="1" t="n">
        <v>46230</v>
      </c>
      <c r="F200" t="inlineStr">
        <is>
          <t>SKÅNE LÄN</t>
        </is>
      </c>
      <c r="G200" t="inlineStr">
        <is>
          <t>HÖRBY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46230</v>
      </c>
      <c r="F201" t="inlineStr">
        <is>
          <t>SKÅNE LÄN</t>
        </is>
      </c>
      <c r="G201" t="inlineStr">
        <is>
          <t>HÖRBY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46230</v>
      </c>
      <c r="F202" t="inlineStr">
        <is>
          <t>SKÅNE LÄN</t>
        </is>
      </c>
      <c r="G202" t="inlineStr">
        <is>
          <t>HÖRBY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46230</v>
      </c>
      <c r="F203" t="inlineStr">
        <is>
          <t>SKÅNE LÄN</t>
        </is>
      </c>
      <c r="G203" t="inlineStr">
        <is>
          <t>HÖRBY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6558-2025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45699</v>
      </c>
      <c r="E204" s="1" t="n">
        <v>46230</v>
      </c>
      <c r="F204" t="inlineStr">
        <is>
          <t>SKÅNE LÄN</t>
        </is>
      </c>
      <c r="G204" t="inlineStr">
        <is>
          <t>HÖRBY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46230</v>
      </c>
      <c r="F205" t="inlineStr">
        <is>
          <t>SKÅNE LÄN</t>
        </is>
      </c>
      <c r="G205" t="inlineStr">
        <is>
          <t>HÖRBY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46230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38684-2022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44814</v>
      </c>
      <c r="E207" s="1" t="n">
        <v>46230</v>
      </c>
      <c r="F207" t="inlineStr">
        <is>
          <t>SKÅNE LÄN</t>
        </is>
      </c>
      <c r="G207" t="inlineStr">
        <is>
          <t>HÖRBY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52310-2023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46230</v>
      </c>
      <c r="F208" t="inlineStr">
        <is>
          <t>SKÅNE LÄN</t>
        </is>
      </c>
      <c r="G208" t="inlineStr">
        <is>
          <t>HÖRBY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46230</v>
      </c>
      <c r="F209" t="inlineStr">
        <is>
          <t>SKÅNE LÄN</t>
        </is>
      </c>
      <c r="G209" t="inlineStr">
        <is>
          <t>HÖRBY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46230</v>
      </c>
      <c r="F210" t="inlineStr">
        <is>
          <t>SKÅNE LÄN</t>
        </is>
      </c>
      <c r="G210" t="inlineStr">
        <is>
          <t>HÖRBY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43711-2024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45569</v>
      </c>
      <c r="E211" s="1" t="n">
        <v>46230</v>
      </c>
      <c r="F211" t="inlineStr">
        <is>
          <t>SKÅNE LÄN</t>
        </is>
      </c>
      <c r="G211" t="inlineStr">
        <is>
          <t>HÖRBY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46230</v>
      </c>
      <c r="F212" t="inlineStr">
        <is>
          <t>SKÅNE LÄN</t>
        </is>
      </c>
      <c r="G212" t="inlineStr">
        <is>
          <t>HÖRBY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45818</v>
      </c>
      <c r="E213" s="1" t="n">
        <v>46230</v>
      </c>
      <c r="F213" t="inlineStr">
        <is>
          <t>SKÅNE LÄN</t>
        </is>
      </c>
      <c r="G213" t="inlineStr">
        <is>
          <t>HÖRBY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46230</v>
      </c>
      <c r="F214" t="inlineStr">
        <is>
          <t>SKÅNE LÄN</t>
        </is>
      </c>
      <c r="G214" t="inlineStr">
        <is>
          <t>HÖRBY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45824</v>
      </c>
      <c r="E215" s="1" t="n">
        <v>46230</v>
      </c>
      <c r="F215" t="inlineStr">
        <is>
          <t>SKÅNE LÄN</t>
        </is>
      </c>
      <c r="G215" t="inlineStr">
        <is>
          <t>HÖRBY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45824</v>
      </c>
      <c r="E216" s="1" t="n">
        <v>46230</v>
      </c>
      <c r="F216" t="inlineStr">
        <is>
          <t>SKÅNE LÄN</t>
        </is>
      </c>
      <c r="G216" t="inlineStr">
        <is>
          <t>HÖRBY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45839</v>
      </c>
      <c r="E217" s="1" t="n">
        <v>46230</v>
      </c>
      <c r="F217" t="inlineStr">
        <is>
          <t>SKÅNE LÄN</t>
        </is>
      </c>
      <c r="G217" t="inlineStr">
        <is>
          <t>HÖRBY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46230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45315</v>
      </c>
      <c r="E219" s="1" t="n">
        <v>46230</v>
      </c>
      <c r="F219" t="inlineStr">
        <is>
          <t>SKÅNE LÄN</t>
        </is>
      </c>
      <c r="G219" t="inlineStr">
        <is>
          <t>HÖRBY</t>
        </is>
      </c>
      <c r="H219" t="inlineStr">
        <is>
          <t>Kyrkan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46230</v>
      </c>
      <c r="F220" t="inlineStr">
        <is>
          <t>SKÅNE LÄN</t>
        </is>
      </c>
      <c r="G220" t="inlineStr">
        <is>
          <t>HÖRBY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45868</v>
      </c>
      <c r="E221" s="1" t="n">
        <v>46230</v>
      </c>
      <c r="F221" t="inlineStr">
        <is>
          <t>SKÅNE LÄN</t>
        </is>
      </c>
      <c r="G221" t="inlineStr">
        <is>
          <t>HÖRBY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36362-2025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45868</v>
      </c>
      <c r="E222" s="1" t="n">
        <v>46230</v>
      </c>
      <c r="F222" t="inlineStr">
        <is>
          <t>SKÅNE LÄN</t>
        </is>
      </c>
      <c r="G222" t="inlineStr">
        <is>
          <t>HÖRBY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46230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46230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46230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46230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46230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46230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46230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46230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2026-07-27T01:48:58Z</dcterms:created>
  <dcterms:modified xmlns:dcterms="http://purl.org/dc/terms/" xmlns:xsi="http://www.w3.org/2001/XMLSchema-instance" xsi:type="dcterms:W3CDTF">2026-07-27T01:48:58Z</dcterms:modified>
</cp:coreProperties>
</file>