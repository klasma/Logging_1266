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6056-2023</t>
        </is>
      </c>
      <c r="B2" s="1" t="n">
        <v>44964</v>
      </c>
      <c r="C2" s="1" t="n">
        <v>45840</v>
      </c>
      <c r="D2" t="inlineStr">
        <is>
          <t>SKÅNE LÄN</t>
        </is>
      </c>
      <c r="E2" t="inlineStr">
        <is>
          <t>HÖRBY</t>
        </is>
      </c>
      <c r="G2" t="n">
        <v>1.1</v>
      </c>
      <c r="H2" t="n">
        <v>0</v>
      </c>
      <c r="I2" t="n">
        <v>8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11</v>
      </c>
      <c r="R2" s="2" t="inlineStr">
        <is>
          <t>Bokkantlav
Bokvårtlav
Lunglav
Bokfjädermossa
Guldlockmossa
Havstulpanlav
Klippfrullania
Kransrams
Lönnlav
Trädporella
Västlig hakmossa</t>
        </is>
      </c>
      <c r="S2">
        <f>HYPERLINK("https://klasma.github.io/Logging_1266/artfynd/A 6056-2023 artfynd.xlsx", "A 6056-2023")</f>
        <v/>
      </c>
      <c r="T2">
        <f>HYPERLINK("https://klasma.github.io/Logging_1266/kartor/A 6056-2023 karta.png", "A 6056-2023")</f>
        <v/>
      </c>
      <c r="V2">
        <f>HYPERLINK("https://klasma.github.io/Logging_1266/klagomål/A 6056-2023 FSC-klagomål.docx", "A 6056-2023")</f>
        <v/>
      </c>
      <c r="W2">
        <f>HYPERLINK("https://klasma.github.io/Logging_1266/klagomålsmail/A 6056-2023 FSC-klagomål mail.docx", "A 6056-2023")</f>
        <v/>
      </c>
      <c r="X2">
        <f>HYPERLINK("https://klasma.github.io/Logging_1266/tillsyn/A 6056-2023 tillsynsbegäran.docx", "A 6056-2023")</f>
        <v/>
      </c>
      <c r="Y2">
        <f>HYPERLINK("https://klasma.github.io/Logging_1266/tillsynsmail/A 6056-2023 tillsynsbegäran mail.docx", "A 6056-2023")</f>
        <v/>
      </c>
    </row>
    <row r="3" ht="15" customHeight="1">
      <c r="A3" t="inlineStr">
        <is>
          <t>A 24647-2022</t>
        </is>
      </c>
      <c r="B3" s="1" t="n">
        <v>44727</v>
      </c>
      <c r="C3" s="1" t="n">
        <v>45840</v>
      </c>
      <c r="D3" t="inlineStr">
        <is>
          <t>SKÅNE LÄN</t>
        </is>
      </c>
      <c r="E3" t="inlineStr">
        <is>
          <t>HÖRBY</t>
        </is>
      </c>
      <c r="G3" t="n">
        <v>0.9</v>
      </c>
      <c r="H3" t="n">
        <v>9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9</v>
      </c>
      <c r="R3" s="2" t="inlineStr">
        <is>
          <t>Mindre brunfladdermus
Dammfladdermus
Nordfladdermus
Sydfladdermus
Dvärgpipistrell
Gråskimlig fladdermus
Större brunfladdermus
Trollpipistrell
Vattenfladdermus</t>
        </is>
      </c>
      <c r="S3">
        <f>HYPERLINK("https://klasma.github.io/Logging_1266/artfynd/A 24647-2022 artfynd.xlsx", "A 24647-2022")</f>
        <v/>
      </c>
      <c r="T3">
        <f>HYPERLINK("https://klasma.github.io/Logging_1266/kartor/A 24647-2022 karta.png", "A 24647-2022")</f>
        <v/>
      </c>
      <c r="V3">
        <f>HYPERLINK("https://klasma.github.io/Logging_1266/klagomål/A 24647-2022 FSC-klagomål.docx", "A 24647-2022")</f>
        <v/>
      </c>
      <c r="W3">
        <f>HYPERLINK("https://klasma.github.io/Logging_1266/klagomålsmail/A 24647-2022 FSC-klagomål mail.docx", "A 24647-2022")</f>
        <v/>
      </c>
      <c r="X3">
        <f>HYPERLINK("https://klasma.github.io/Logging_1266/tillsyn/A 24647-2022 tillsynsbegäran.docx", "A 24647-2022")</f>
        <v/>
      </c>
      <c r="Y3">
        <f>HYPERLINK("https://klasma.github.io/Logging_1266/tillsynsmail/A 24647-2022 tillsynsbegäran mail.docx", "A 24647-2022")</f>
        <v/>
      </c>
    </row>
    <row r="4" ht="15" customHeight="1">
      <c r="A4" t="inlineStr">
        <is>
          <t>A 39855-2022</t>
        </is>
      </c>
      <c r="B4" s="1" t="n">
        <v>44819</v>
      </c>
      <c r="C4" s="1" t="n">
        <v>45840</v>
      </c>
      <c r="D4" t="inlineStr">
        <is>
          <t>SKÅNE LÄN</t>
        </is>
      </c>
      <c r="E4" t="inlineStr">
        <is>
          <t>HÖRBY</t>
        </is>
      </c>
      <c r="G4" t="n">
        <v>4.2</v>
      </c>
      <c r="H4" t="n">
        <v>4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Ask
Skogsknipprot
Fläcknycklar
Grönvit nattviol
Blåsippa</t>
        </is>
      </c>
      <c r="S4">
        <f>HYPERLINK("https://klasma.github.io/Logging_1266/artfynd/A 39855-2022 artfynd.xlsx", "A 39855-2022")</f>
        <v/>
      </c>
      <c r="T4">
        <f>HYPERLINK("https://klasma.github.io/Logging_1266/kartor/A 39855-2022 karta.png", "A 39855-2022")</f>
        <v/>
      </c>
      <c r="V4">
        <f>HYPERLINK("https://klasma.github.io/Logging_1266/klagomål/A 39855-2022 FSC-klagomål.docx", "A 39855-2022")</f>
        <v/>
      </c>
      <c r="W4">
        <f>HYPERLINK("https://klasma.github.io/Logging_1266/klagomålsmail/A 39855-2022 FSC-klagomål mail.docx", "A 39855-2022")</f>
        <v/>
      </c>
      <c r="X4">
        <f>HYPERLINK("https://klasma.github.io/Logging_1266/tillsyn/A 39855-2022 tillsynsbegäran.docx", "A 39855-2022")</f>
        <v/>
      </c>
      <c r="Y4">
        <f>HYPERLINK("https://klasma.github.io/Logging_1266/tillsynsmail/A 39855-2022 tillsynsbegäran mail.docx", "A 39855-2022")</f>
        <v/>
      </c>
    </row>
    <row r="5" ht="15" customHeight="1">
      <c r="A5" t="inlineStr">
        <is>
          <t>A 20194-2024</t>
        </is>
      </c>
      <c r="B5" s="1" t="n">
        <v>45434</v>
      </c>
      <c r="C5" s="1" t="n">
        <v>45840</v>
      </c>
      <c r="D5" t="inlineStr">
        <is>
          <t>SKÅNE LÄN</t>
        </is>
      </c>
      <c r="E5" t="inlineStr">
        <is>
          <t>HÖRBY</t>
        </is>
      </c>
      <c r="G5" t="n">
        <v>4.4</v>
      </c>
      <c r="H5" t="n">
        <v>0</v>
      </c>
      <c r="I5" t="n">
        <v>2</v>
      </c>
      <c r="J5" t="n">
        <v>0</v>
      </c>
      <c r="K5" t="n">
        <v>0</v>
      </c>
      <c r="L5" t="n">
        <v>1</v>
      </c>
      <c r="M5" t="n">
        <v>2</v>
      </c>
      <c r="N5" t="n">
        <v>0</v>
      </c>
      <c r="O5" t="n">
        <v>3</v>
      </c>
      <c r="P5" t="n">
        <v>3</v>
      </c>
      <c r="Q5" t="n">
        <v>5</v>
      </c>
      <c r="R5" s="2" t="inlineStr">
        <is>
          <t>Naverlönn
Skogsalm
Ask
Scharlakansskål
Stor häxört</t>
        </is>
      </c>
      <c r="S5">
        <f>HYPERLINK("https://klasma.github.io/Logging_1266/artfynd/A 20194-2024 artfynd.xlsx", "A 20194-2024")</f>
        <v/>
      </c>
      <c r="T5">
        <f>HYPERLINK("https://klasma.github.io/Logging_1266/kartor/A 20194-2024 karta.png", "A 20194-2024")</f>
        <v/>
      </c>
      <c r="V5">
        <f>HYPERLINK("https://klasma.github.io/Logging_1266/klagomål/A 20194-2024 FSC-klagomål.docx", "A 20194-2024")</f>
        <v/>
      </c>
      <c r="W5">
        <f>HYPERLINK("https://klasma.github.io/Logging_1266/klagomålsmail/A 20194-2024 FSC-klagomål mail.docx", "A 20194-2024")</f>
        <v/>
      </c>
      <c r="X5">
        <f>HYPERLINK("https://klasma.github.io/Logging_1266/tillsyn/A 20194-2024 tillsynsbegäran.docx", "A 20194-2024")</f>
        <v/>
      </c>
      <c r="Y5">
        <f>HYPERLINK("https://klasma.github.io/Logging_1266/tillsynsmail/A 20194-2024 tillsynsbegäran mail.docx", "A 20194-2024")</f>
        <v/>
      </c>
    </row>
    <row r="6" ht="15" customHeight="1">
      <c r="A6" t="inlineStr">
        <is>
          <t>A 28963-2023</t>
        </is>
      </c>
      <c r="B6" s="1" t="n">
        <v>45104</v>
      </c>
      <c r="C6" s="1" t="n">
        <v>45840</v>
      </c>
      <c r="D6" t="inlineStr">
        <is>
          <t>SKÅNE LÄN</t>
        </is>
      </c>
      <c r="E6" t="inlineStr">
        <is>
          <t>HÖRBY</t>
        </is>
      </c>
      <c r="G6" t="n">
        <v>3.2</v>
      </c>
      <c r="H6" t="n">
        <v>3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Hässleklocka
Skogsödla
Vanlig padda
Vanlig snok</t>
        </is>
      </c>
      <c r="S6">
        <f>HYPERLINK("https://klasma.github.io/Logging_1266/artfynd/A 28963-2023 artfynd.xlsx", "A 28963-2023")</f>
        <v/>
      </c>
      <c r="T6">
        <f>HYPERLINK("https://klasma.github.io/Logging_1266/kartor/A 28963-2023 karta.png", "A 28963-2023")</f>
        <v/>
      </c>
      <c r="V6">
        <f>HYPERLINK("https://klasma.github.io/Logging_1266/klagomål/A 28963-2023 FSC-klagomål.docx", "A 28963-2023")</f>
        <v/>
      </c>
      <c r="W6">
        <f>HYPERLINK("https://klasma.github.io/Logging_1266/klagomålsmail/A 28963-2023 FSC-klagomål mail.docx", "A 28963-2023")</f>
        <v/>
      </c>
      <c r="X6">
        <f>HYPERLINK("https://klasma.github.io/Logging_1266/tillsyn/A 28963-2023 tillsynsbegäran.docx", "A 28963-2023")</f>
        <v/>
      </c>
      <c r="Y6">
        <f>HYPERLINK("https://klasma.github.io/Logging_1266/tillsynsmail/A 28963-2023 tillsynsbegäran mail.docx", "A 28963-2023")</f>
        <v/>
      </c>
    </row>
    <row r="7" ht="15" customHeight="1">
      <c r="A7" t="inlineStr">
        <is>
          <t>A 726-2024</t>
        </is>
      </c>
      <c r="B7" s="1" t="n">
        <v>45300</v>
      </c>
      <c r="C7" s="1" t="n">
        <v>45840</v>
      </c>
      <c r="D7" t="inlineStr">
        <is>
          <t>SKÅNE LÄN</t>
        </is>
      </c>
      <c r="E7" t="inlineStr">
        <is>
          <t>HÖRBY</t>
        </is>
      </c>
      <c r="G7" t="n">
        <v>5</v>
      </c>
      <c r="H7" t="n">
        <v>3</v>
      </c>
      <c r="I7" t="n">
        <v>0</v>
      </c>
      <c r="J7" t="n">
        <v>2</v>
      </c>
      <c r="K7" t="n">
        <v>2</v>
      </c>
      <c r="L7" t="n">
        <v>0</v>
      </c>
      <c r="M7" t="n">
        <v>0</v>
      </c>
      <c r="N7" t="n">
        <v>0</v>
      </c>
      <c r="O7" t="n">
        <v>4</v>
      </c>
      <c r="P7" t="n">
        <v>2</v>
      </c>
      <c r="Q7" t="n">
        <v>4</v>
      </c>
      <c r="R7" s="2" t="inlineStr">
        <is>
          <t>Småvänderot
Tofsvipa
Björktrast
Gulsparv</t>
        </is>
      </c>
      <c r="S7">
        <f>HYPERLINK("https://klasma.github.io/Logging_1266/artfynd/A 726-2024 artfynd.xlsx", "A 726-2024")</f>
        <v/>
      </c>
      <c r="T7">
        <f>HYPERLINK("https://klasma.github.io/Logging_1266/kartor/A 726-2024 karta.png", "A 726-2024")</f>
        <v/>
      </c>
      <c r="V7">
        <f>HYPERLINK("https://klasma.github.io/Logging_1266/klagomål/A 726-2024 FSC-klagomål.docx", "A 726-2024")</f>
        <v/>
      </c>
      <c r="W7">
        <f>HYPERLINK("https://klasma.github.io/Logging_1266/klagomålsmail/A 726-2024 FSC-klagomål mail.docx", "A 726-2024")</f>
        <v/>
      </c>
      <c r="X7">
        <f>HYPERLINK("https://klasma.github.io/Logging_1266/tillsyn/A 726-2024 tillsynsbegäran.docx", "A 726-2024")</f>
        <v/>
      </c>
      <c r="Y7">
        <f>HYPERLINK("https://klasma.github.io/Logging_1266/tillsynsmail/A 726-2024 tillsynsbegäran mail.docx", "A 726-2024")</f>
        <v/>
      </c>
      <c r="Z7">
        <f>HYPERLINK("https://klasma.github.io/Logging_1266/fåglar/A 726-2024 prioriterade fågelarter.docx", "A 726-2024")</f>
        <v/>
      </c>
    </row>
    <row r="8" ht="15" customHeight="1">
      <c r="A8" t="inlineStr">
        <is>
          <t>A 31351-2022</t>
        </is>
      </c>
      <c r="B8" s="1" t="n">
        <v>44774</v>
      </c>
      <c r="C8" s="1" t="n">
        <v>45840</v>
      </c>
      <c r="D8" t="inlineStr">
        <is>
          <t>SKÅNE LÄN</t>
        </is>
      </c>
      <c r="E8" t="inlineStr">
        <is>
          <t>HÖRBY</t>
        </is>
      </c>
      <c r="G8" t="n">
        <v>13.2</v>
      </c>
      <c r="H8" t="n">
        <v>3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3</v>
      </c>
      <c r="R8" s="2" t="inlineStr">
        <is>
          <t>Duvhök
Fjällvråk
Grönsångare</t>
        </is>
      </c>
      <c r="S8">
        <f>HYPERLINK("https://klasma.github.io/Logging_1266/artfynd/A 31351-2022 artfynd.xlsx", "A 31351-2022")</f>
        <v/>
      </c>
      <c r="T8">
        <f>HYPERLINK("https://klasma.github.io/Logging_1266/kartor/A 31351-2022 karta.png", "A 31351-2022")</f>
        <v/>
      </c>
      <c r="V8">
        <f>HYPERLINK("https://klasma.github.io/Logging_1266/klagomål/A 31351-2022 FSC-klagomål.docx", "A 31351-2022")</f>
        <v/>
      </c>
      <c r="W8">
        <f>HYPERLINK("https://klasma.github.io/Logging_1266/klagomålsmail/A 31351-2022 FSC-klagomål mail.docx", "A 31351-2022")</f>
        <v/>
      </c>
      <c r="X8">
        <f>HYPERLINK("https://klasma.github.io/Logging_1266/tillsyn/A 31351-2022 tillsynsbegäran.docx", "A 31351-2022")</f>
        <v/>
      </c>
      <c r="Y8">
        <f>HYPERLINK("https://klasma.github.io/Logging_1266/tillsynsmail/A 31351-2022 tillsynsbegäran mail.docx", "A 31351-2022")</f>
        <v/>
      </c>
      <c r="Z8">
        <f>HYPERLINK("https://klasma.github.io/Logging_1266/fåglar/A 31351-2022 prioriterade fågelarter.docx", "A 31351-2022")</f>
        <v/>
      </c>
    </row>
    <row r="9" ht="15" customHeight="1">
      <c r="A9" t="inlineStr">
        <is>
          <t>A 56742-2023</t>
        </is>
      </c>
      <c r="B9" s="1" t="n">
        <v>45238</v>
      </c>
      <c r="C9" s="1" t="n">
        <v>45840</v>
      </c>
      <c r="D9" t="inlineStr">
        <is>
          <t>SKÅNE LÄN</t>
        </is>
      </c>
      <c r="E9" t="inlineStr">
        <is>
          <t>HÖRBY</t>
        </is>
      </c>
      <c r="G9" t="n">
        <v>8.699999999999999</v>
      </c>
      <c r="H9" t="n">
        <v>2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Mindre hackspett
Scharlakansskål
Skogsödla</t>
        </is>
      </c>
      <c r="S9">
        <f>HYPERLINK("https://klasma.github.io/Logging_1266/artfynd/A 56742-2023 artfynd.xlsx", "A 56742-2023")</f>
        <v/>
      </c>
      <c r="T9">
        <f>HYPERLINK("https://klasma.github.io/Logging_1266/kartor/A 56742-2023 karta.png", "A 56742-2023")</f>
        <v/>
      </c>
      <c r="V9">
        <f>HYPERLINK("https://klasma.github.io/Logging_1266/klagomål/A 56742-2023 FSC-klagomål.docx", "A 56742-2023")</f>
        <v/>
      </c>
      <c r="W9">
        <f>HYPERLINK("https://klasma.github.io/Logging_1266/klagomålsmail/A 56742-2023 FSC-klagomål mail.docx", "A 56742-2023")</f>
        <v/>
      </c>
      <c r="X9">
        <f>HYPERLINK("https://klasma.github.io/Logging_1266/tillsyn/A 56742-2023 tillsynsbegäran.docx", "A 56742-2023")</f>
        <v/>
      </c>
      <c r="Y9">
        <f>HYPERLINK("https://klasma.github.io/Logging_1266/tillsynsmail/A 56742-2023 tillsynsbegäran mail.docx", "A 56742-2023")</f>
        <v/>
      </c>
      <c r="Z9">
        <f>HYPERLINK("https://klasma.github.io/Logging_1266/fåglar/A 56742-2023 prioriterade fågelarter.docx", "A 56742-2023")</f>
        <v/>
      </c>
    </row>
    <row r="10" ht="15" customHeight="1">
      <c r="A10" t="inlineStr">
        <is>
          <t>A 64633-2023</t>
        </is>
      </c>
      <c r="B10" s="1" t="n">
        <v>45281</v>
      </c>
      <c r="C10" s="1" t="n">
        <v>45840</v>
      </c>
      <c r="D10" t="inlineStr">
        <is>
          <t>SKÅNE LÄN</t>
        </is>
      </c>
      <c r="E10" t="inlineStr">
        <is>
          <t>HÖRBY</t>
        </is>
      </c>
      <c r="G10" t="n">
        <v>1.4</v>
      </c>
      <c r="H10" t="n">
        <v>0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Fläckig glansspinnare
Skogslysing
Stor häxört</t>
        </is>
      </c>
      <c r="S10">
        <f>HYPERLINK("https://klasma.github.io/Logging_1266/artfynd/A 64633-2023 artfynd.xlsx", "A 64633-2023")</f>
        <v/>
      </c>
      <c r="T10">
        <f>HYPERLINK("https://klasma.github.io/Logging_1266/kartor/A 64633-2023 karta.png", "A 64633-2023")</f>
        <v/>
      </c>
      <c r="V10">
        <f>HYPERLINK("https://klasma.github.io/Logging_1266/klagomål/A 64633-2023 FSC-klagomål.docx", "A 64633-2023")</f>
        <v/>
      </c>
      <c r="W10">
        <f>HYPERLINK("https://klasma.github.io/Logging_1266/klagomålsmail/A 64633-2023 FSC-klagomål mail.docx", "A 64633-2023")</f>
        <v/>
      </c>
      <c r="X10">
        <f>HYPERLINK("https://klasma.github.io/Logging_1266/tillsyn/A 64633-2023 tillsynsbegäran.docx", "A 64633-2023")</f>
        <v/>
      </c>
      <c r="Y10">
        <f>HYPERLINK("https://klasma.github.io/Logging_1266/tillsynsmail/A 64633-2023 tillsynsbegäran mail.docx", "A 64633-2023")</f>
        <v/>
      </c>
    </row>
    <row r="11" ht="15" customHeight="1">
      <c r="A11" t="inlineStr">
        <is>
          <t>A 20193-2024</t>
        </is>
      </c>
      <c r="B11" s="1" t="n">
        <v>45434</v>
      </c>
      <c r="C11" s="1" t="n">
        <v>45840</v>
      </c>
      <c r="D11" t="inlineStr">
        <is>
          <t>SKÅNE LÄN</t>
        </is>
      </c>
      <c r="E11" t="inlineStr">
        <is>
          <t>HÖRBY</t>
        </is>
      </c>
      <c r="G11" t="n">
        <v>11.2</v>
      </c>
      <c r="H11" t="n">
        <v>0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Strutbräken
Vätteros
Vårärt</t>
        </is>
      </c>
      <c r="S11">
        <f>HYPERLINK("https://klasma.github.io/Logging_1266/artfynd/A 20193-2024 artfynd.xlsx", "A 20193-2024")</f>
        <v/>
      </c>
      <c r="T11">
        <f>HYPERLINK("https://klasma.github.io/Logging_1266/kartor/A 20193-2024 karta.png", "A 20193-2024")</f>
        <v/>
      </c>
      <c r="V11">
        <f>HYPERLINK("https://klasma.github.io/Logging_1266/klagomål/A 20193-2024 FSC-klagomål.docx", "A 20193-2024")</f>
        <v/>
      </c>
      <c r="W11">
        <f>HYPERLINK("https://klasma.github.io/Logging_1266/klagomålsmail/A 20193-2024 FSC-klagomål mail.docx", "A 20193-2024")</f>
        <v/>
      </c>
      <c r="X11">
        <f>HYPERLINK("https://klasma.github.io/Logging_1266/tillsyn/A 20193-2024 tillsynsbegäran.docx", "A 20193-2024")</f>
        <v/>
      </c>
      <c r="Y11">
        <f>HYPERLINK("https://klasma.github.io/Logging_1266/tillsynsmail/A 20193-2024 tillsynsbegäran mail.docx", "A 20193-2024")</f>
        <v/>
      </c>
    </row>
    <row r="12" ht="15" customHeight="1">
      <c r="A12" t="inlineStr">
        <is>
          <t>A 2823-2025</t>
        </is>
      </c>
      <c r="B12" s="1" t="n">
        <v>45677</v>
      </c>
      <c r="C12" s="1" t="n">
        <v>45840</v>
      </c>
      <c r="D12" t="inlineStr">
        <is>
          <t>SKÅNE LÄN</t>
        </is>
      </c>
      <c r="E12" t="inlineStr">
        <is>
          <t>HÖRBY</t>
        </is>
      </c>
      <c r="G12" t="n">
        <v>21.1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Borsttåg
Grönvit nattviol
Revlummer</t>
        </is>
      </c>
      <c r="S12">
        <f>HYPERLINK("https://klasma.github.io/Logging_1266/artfynd/A 2823-2025 artfynd.xlsx", "A 2823-2025")</f>
        <v/>
      </c>
      <c r="T12">
        <f>HYPERLINK("https://klasma.github.io/Logging_1266/kartor/A 2823-2025 karta.png", "A 2823-2025")</f>
        <v/>
      </c>
      <c r="V12">
        <f>HYPERLINK("https://klasma.github.io/Logging_1266/klagomål/A 2823-2025 FSC-klagomål.docx", "A 2823-2025")</f>
        <v/>
      </c>
      <c r="W12">
        <f>HYPERLINK("https://klasma.github.io/Logging_1266/klagomålsmail/A 2823-2025 FSC-klagomål mail.docx", "A 2823-2025")</f>
        <v/>
      </c>
      <c r="X12">
        <f>HYPERLINK("https://klasma.github.io/Logging_1266/tillsyn/A 2823-2025 tillsynsbegäran.docx", "A 2823-2025")</f>
        <v/>
      </c>
      <c r="Y12">
        <f>HYPERLINK("https://klasma.github.io/Logging_1266/tillsynsmail/A 2823-2025 tillsynsbegäran mail.docx", "A 2823-2025")</f>
        <v/>
      </c>
    </row>
    <row r="13" ht="15" customHeight="1">
      <c r="A13" t="inlineStr">
        <is>
          <t>A 24801-2025</t>
        </is>
      </c>
      <c r="B13" s="1" t="n">
        <v>45799</v>
      </c>
      <c r="C13" s="1" t="n">
        <v>45840</v>
      </c>
      <c r="D13" t="inlineStr">
        <is>
          <t>SKÅNE LÄN</t>
        </is>
      </c>
      <c r="E13" t="inlineStr">
        <is>
          <t>HÖRBY</t>
        </is>
      </c>
      <c r="G13" t="n">
        <v>6.2</v>
      </c>
      <c r="H13" t="n">
        <v>0</v>
      </c>
      <c r="I13" t="n">
        <v>1</v>
      </c>
      <c r="J13" t="n">
        <v>0</v>
      </c>
      <c r="K13" t="n">
        <v>1</v>
      </c>
      <c r="L13" t="n">
        <v>1</v>
      </c>
      <c r="M13" t="n">
        <v>0</v>
      </c>
      <c r="N13" t="n">
        <v>0</v>
      </c>
      <c r="O13" t="n">
        <v>2</v>
      </c>
      <c r="P13" t="n">
        <v>2</v>
      </c>
      <c r="Q13" t="n">
        <v>3</v>
      </c>
      <c r="R13" s="2" t="inlineStr">
        <is>
          <t>Ask
Småvänderot
Platt fjädermossa</t>
        </is>
      </c>
      <c r="S13">
        <f>HYPERLINK("https://klasma.github.io/Logging_121266/artfynd/A 24801-2025 artfynd.xlsx", "A 24801-2025")</f>
        <v/>
      </c>
      <c r="T13">
        <f>HYPERLINK("https://klasma.github.io/Logging_121266/kartor/A 24801-2025 karta.png", "A 24801-2025")</f>
        <v/>
      </c>
      <c r="V13">
        <f>HYPERLINK("https://klasma.github.io/Logging_121266/klagomål/A 24801-2025 FSC-klagomål.docx", "A 24801-2025")</f>
        <v/>
      </c>
      <c r="W13">
        <f>HYPERLINK("https://klasma.github.io/Logging_121266/klagomålsmail/A 24801-2025 FSC-klagomål mail.docx", "A 24801-2025")</f>
        <v/>
      </c>
      <c r="X13">
        <f>HYPERLINK("https://klasma.github.io/Logging_121266/tillsyn/A 24801-2025 tillsynsbegäran.docx", "A 24801-2025")</f>
        <v/>
      </c>
      <c r="Y13">
        <f>HYPERLINK("https://klasma.github.io/Logging_121266/tillsynsmail/A 24801-2025 tillsynsbegäran mail.docx", "A 24801-2025")</f>
        <v/>
      </c>
    </row>
    <row r="14" ht="15" customHeight="1">
      <c r="A14" t="inlineStr">
        <is>
          <t>A 27738-2025</t>
        </is>
      </c>
      <c r="B14" s="1" t="n">
        <v>45815</v>
      </c>
      <c r="C14" s="1" t="n">
        <v>45840</v>
      </c>
      <c r="D14" t="inlineStr">
        <is>
          <t>SKÅNE LÄN</t>
        </is>
      </c>
      <c r="E14" t="inlineStr">
        <is>
          <t>HÖRBY</t>
        </is>
      </c>
      <c r="G14" t="n">
        <v>2.5</v>
      </c>
      <c r="H14" t="n">
        <v>0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Bokvårtlav
Sydlig sotticka
Västlig hakmossa</t>
        </is>
      </c>
      <c r="S14">
        <f>HYPERLINK("https://klasma.github.io/Logging_121266/artfynd/A 27738-2025 artfynd.xlsx", "A 27738-2025")</f>
        <v/>
      </c>
      <c r="T14">
        <f>HYPERLINK("https://klasma.github.io/Logging_121266/kartor/A 27738-2025 karta.png", "A 27738-2025")</f>
        <v/>
      </c>
      <c r="V14">
        <f>HYPERLINK("https://klasma.github.io/Logging_121266/klagomål/A 27738-2025 FSC-klagomål.docx", "A 27738-2025")</f>
        <v/>
      </c>
      <c r="W14">
        <f>HYPERLINK("https://klasma.github.io/Logging_121266/klagomålsmail/A 27738-2025 FSC-klagomål mail.docx", "A 27738-2025")</f>
        <v/>
      </c>
      <c r="X14">
        <f>HYPERLINK("https://klasma.github.io/Logging_121266/tillsyn/A 27738-2025 tillsynsbegäran.docx", "A 27738-2025")</f>
        <v/>
      </c>
      <c r="Y14">
        <f>HYPERLINK("https://klasma.github.io/Logging_121266/tillsynsmail/A 27738-2025 tillsynsbegäran mail.docx", "A 27738-2025")</f>
        <v/>
      </c>
    </row>
    <row r="15" ht="15" customHeight="1">
      <c r="A15" t="inlineStr">
        <is>
          <t>A 38525-2019</t>
        </is>
      </c>
      <c r="B15" s="1" t="n">
        <v>43682</v>
      </c>
      <c r="C15" s="1" t="n">
        <v>45840</v>
      </c>
      <c r="D15" t="inlineStr">
        <is>
          <t>SKÅNE LÄN</t>
        </is>
      </c>
      <c r="E15" t="inlineStr">
        <is>
          <t>HÖRBY</t>
        </is>
      </c>
      <c r="G15" t="n">
        <v>0.3</v>
      </c>
      <c r="H15" t="n">
        <v>1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2</v>
      </c>
      <c r="R15" s="2" t="inlineStr">
        <is>
          <t>Ask
Blåsippa</t>
        </is>
      </c>
      <c r="S15">
        <f>HYPERLINK("https://klasma.github.io/Logging_1266/artfynd/A 38525-2019 artfynd.xlsx", "A 38525-2019")</f>
        <v/>
      </c>
      <c r="T15">
        <f>HYPERLINK("https://klasma.github.io/Logging_1266/kartor/A 38525-2019 karta.png", "A 38525-2019")</f>
        <v/>
      </c>
      <c r="V15">
        <f>HYPERLINK("https://klasma.github.io/Logging_1266/klagomål/A 38525-2019 FSC-klagomål.docx", "A 38525-2019")</f>
        <v/>
      </c>
      <c r="W15">
        <f>HYPERLINK("https://klasma.github.io/Logging_1266/klagomålsmail/A 38525-2019 FSC-klagomål mail.docx", "A 38525-2019")</f>
        <v/>
      </c>
      <c r="X15">
        <f>HYPERLINK("https://klasma.github.io/Logging_1266/tillsyn/A 38525-2019 tillsynsbegäran.docx", "A 38525-2019")</f>
        <v/>
      </c>
      <c r="Y15">
        <f>HYPERLINK("https://klasma.github.io/Logging_1266/tillsynsmail/A 38525-2019 tillsynsbegäran mail.docx", "A 38525-2019")</f>
        <v/>
      </c>
    </row>
    <row r="16" ht="15" customHeight="1">
      <c r="A16" t="inlineStr">
        <is>
          <t>A 6547-2020</t>
        </is>
      </c>
      <c r="B16" s="1" t="n">
        <v>43866</v>
      </c>
      <c r="C16" s="1" t="n">
        <v>45840</v>
      </c>
      <c r="D16" t="inlineStr">
        <is>
          <t>SKÅNE LÄN</t>
        </is>
      </c>
      <c r="E16" t="inlineStr">
        <is>
          <t>HÖRBY</t>
        </is>
      </c>
      <c r="G16" t="n">
        <v>3.5</v>
      </c>
      <c r="H16" t="n">
        <v>0</v>
      </c>
      <c r="I16" t="n">
        <v>0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2</v>
      </c>
      <c r="P16" t="n">
        <v>1</v>
      </c>
      <c r="Q16" t="n">
        <v>2</v>
      </c>
      <c r="R16" s="2" t="inlineStr">
        <is>
          <t>Ask
Stor sotdyna</t>
        </is>
      </c>
      <c r="S16">
        <f>HYPERLINK("https://klasma.github.io/Logging_1266/artfynd/A 6547-2020 artfynd.xlsx", "A 6547-2020")</f>
        <v/>
      </c>
      <c r="T16">
        <f>HYPERLINK("https://klasma.github.io/Logging_1266/kartor/A 6547-2020 karta.png", "A 6547-2020")</f>
        <v/>
      </c>
      <c r="V16">
        <f>HYPERLINK("https://klasma.github.io/Logging_1266/klagomål/A 6547-2020 FSC-klagomål.docx", "A 6547-2020")</f>
        <v/>
      </c>
      <c r="W16">
        <f>HYPERLINK("https://klasma.github.io/Logging_1266/klagomålsmail/A 6547-2020 FSC-klagomål mail.docx", "A 6547-2020")</f>
        <v/>
      </c>
      <c r="X16">
        <f>HYPERLINK("https://klasma.github.io/Logging_1266/tillsyn/A 6547-2020 tillsynsbegäran.docx", "A 6547-2020")</f>
        <v/>
      </c>
      <c r="Y16">
        <f>HYPERLINK("https://klasma.github.io/Logging_1266/tillsynsmail/A 6547-2020 tillsynsbegäran mail.docx", "A 6547-2020")</f>
        <v/>
      </c>
    </row>
    <row r="17" ht="15" customHeight="1">
      <c r="A17" t="inlineStr">
        <is>
          <t>A 24158-2022</t>
        </is>
      </c>
      <c r="B17" s="1" t="n">
        <v>44725</v>
      </c>
      <c r="C17" s="1" t="n">
        <v>45840</v>
      </c>
      <c r="D17" t="inlineStr">
        <is>
          <t>SKÅNE LÄN</t>
        </is>
      </c>
      <c r="E17" t="inlineStr">
        <is>
          <t>HÖRBY</t>
        </is>
      </c>
      <c r="G17" t="n">
        <v>3.1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Slåttergubbe</t>
        </is>
      </c>
      <c r="S17">
        <f>HYPERLINK("https://klasma.github.io/Logging_1266/artfynd/A 24158-2022 artfynd.xlsx", "A 24158-2022")</f>
        <v/>
      </c>
      <c r="T17">
        <f>HYPERLINK("https://klasma.github.io/Logging_1266/kartor/A 24158-2022 karta.png", "A 24158-2022")</f>
        <v/>
      </c>
      <c r="V17">
        <f>HYPERLINK("https://klasma.github.io/Logging_1266/klagomål/A 24158-2022 FSC-klagomål.docx", "A 24158-2022")</f>
        <v/>
      </c>
      <c r="W17">
        <f>HYPERLINK("https://klasma.github.io/Logging_1266/klagomålsmail/A 24158-2022 FSC-klagomål mail.docx", "A 24158-2022")</f>
        <v/>
      </c>
      <c r="X17">
        <f>HYPERLINK("https://klasma.github.io/Logging_1266/tillsyn/A 24158-2022 tillsynsbegäran.docx", "A 24158-2022")</f>
        <v/>
      </c>
      <c r="Y17">
        <f>HYPERLINK("https://klasma.github.io/Logging_1266/tillsynsmail/A 24158-2022 tillsynsbegäran mail.docx", "A 24158-2022")</f>
        <v/>
      </c>
    </row>
    <row r="18" ht="15" customHeight="1">
      <c r="A18" t="inlineStr">
        <is>
          <t>A 45334-2022</t>
        </is>
      </c>
      <c r="B18" s="1" t="n">
        <v>44844</v>
      </c>
      <c r="C18" s="1" t="n">
        <v>45840</v>
      </c>
      <c r="D18" t="inlineStr">
        <is>
          <t>SKÅNE LÄN</t>
        </is>
      </c>
      <c r="E18" t="inlineStr">
        <is>
          <t>HÖRBY</t>
        </is>
      </c>
      <c r="F18" t="inlineStr">
        <is>
          <t>Sveaskog</t>
        </is>
      </c>
      <c r="G18" t="n">
        <v>4.7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Strutbräken</t>
        </is>
      </c>
      <c r="S18">
        <f>HYPERLINK("https://klasma.github.io/Logging_1266/artfynd/A 45334-2022 artfynd.xlsx", "A 45334-2022")</f>
        <v/>
      </c>
      <c r="T18">
        <f>HYPERLINK("https://klasma.github.io/Logging_1266/kartor/A 45334-2022 karta.png", "A 45334-2022")</f>
        <v/>
      </c>
      <c r="V18">
        <f>HYPERLINK("https://klasma.github.io/Logging_1266/klagomål/A 45334-2022 FSC-klagomål.docx", "A 45334-2022")</f>
        <v/>
      </c>
      <c r="W18">
        <f>HYPERLINK("https://klasma.github.io/Logging_1266/klagomålsmail/A 45334-2022 FSC-klagomål mail.docx", "A 45334-2022")</f>
        <v/>
      </c>
      <c r="X18">
        <f>HYPERLINK("https://klasma.github.io/Logging_1266/tillsyn/A 45334-2022 tillsynsbegäran.docx", "A 45334-2022")</f>
        <v/>
      </c>
      <c r="Y18">
        <f>HYPERLINK("https://klasma.github.io/Logging_1266/tillsynsmail/A 45334-2022 tillsynsbegäran mail.docx", "A 45334-2022")</f>
        <v/>
      </c>
    </row>
    <row r="19" ht="15" customHeight="1">
      <c r="A19" t="inlineStr">
        <is>
          <t>A 113-2023</t>
        </is>
      </c>
      <c r="B19" s="1" t="n">
        <v>44928</v>
      </c>
      <c r="C19" s="1" t="n">
        <v>45840</v>
      </c>
      <c r="D19" t="inlineStr">
        <is>
          <t>SKÅNE LÄN</t>
        </is>
      </c>
      <c r="E19" t="inlineStr">
        <is>
          <t>HÖRBY</t>
        </is>
      </c>
      <c r="G19" t="n">
        <v>5.1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Slåttergubbe</t>
        </is>
      </c>
      <c r="S19">
        <f>HYPERLINK("https://klasma.github.io/Logging_1266/artfynd/A 113-2023 artfynd.xlsx", "A 113-2023")</f>
        <v/>
      </c>
      <c r="T19">
        <f>HYPERLINK("https://klasma.github.io/Logging_1266/kartor/A 113-2023 karta.png", "A 113-2023")</f>
        <v/>
      </c>
      <c r="V19">
        <f>HYPERLINK("https://klasma.github.io/Logging_1266/klagomål/A 113-2023 FSC-klagomål.docx", "A 113-2023")</f>
        <v/>
      </c>
      <c r="W19">
        <f>HYPERLINK("https://klasma.github.io/Logging_1266/klagomålsmail/A 113-2023 FSC-klagomål mail.docx", "A 113-2023")</f>
        <v/>
      </c>
      <c r="X19">
        <f>HYPERLINK("https://klasma.github.io/Logging_1266/tillsyn/A 113-2023 tillsynsbegäran.docx", "A 113-2023")</f>
        <v/>
      </c>
      <c r="Y19">
        <f>HYPERLINK("https://klasma.github.io/Logging_1266/tillsynsmail/A 113-2023 tillsynsbegäran mail.docx", "A 113-2023")</f>
        <v/>
      </c>
    </row>
    <row r="20" ht="15" customHeight="1">
      <c r="A20" t="inlineStr">
        <is>
          <t>A 40376-2023</t>
        </is>
      </c>
      <c r="B20" s="1" t="n">
        <v>45169</v>
      </c>
      <c r="C20" s="1" t="n">
        <v>45840</v>
      </c>
      <c r="D20" t="inlineStr">
        <is>
          <t>SKÅNE LÄN</t>
        </is>
      </c>
      <c r="E20" t="inlineStr">
        <is>
          <t>HÖRBY</t>
        </is>
      </c>
      <c r="G20" t="n">
        <v>2.7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Talltita</t>
        </is>
      </c>
      <c r="S20">
        <f>HYPERLINK("https://klasma.github.io/Logging_1266/artfynd/A 40376-2023 artfynd.xlsx", "A 40376-2023")</f>
        <v/>
      </c>
      <c r="T20">
        <f>HYPERLINK("https://klasma.github.io/Logging_1266/kartor/A 40376-2023 karta.png", "A 40376-2023")</f>
        <v/>
      </c>
      <c r="V20">
        <f>HYPERLINK("https://klasma.github.io/Logging_1266/klagomål/A 40376-2023 FSC-klagomål.docx", "A 40376-2023")</f>
        <v/>
      </c>
      <c r="W20">
        <f>HYPERLINK("https://klasma.github.io/Logging_1266/klagomålsmail/A 40376-2023 FSC-klagomål mail.docx", "A 40376-2023")</f>
        <v/>
      </c>
      <c r="X20">
        <f>HYPERLINK("https://klasma.github.io/Logging_1266/tillsyn/A 40376-2023 tillsynsbegäran.docx", "A 40376-2023")</f>
        <v/>
      </c>
      <c r="Y20">
        <f>HYPERLINK("https://klasma.github.io/Logging_1266/tillsynsmail/A 40376-2023 tillsynsbegäran mail.docx", "A 40376-2023")</f>
        <v/>
      </c>
      <c r="Z20">
        <f>HYPERLINK("https://klasma.github.io/Logging_1266/fåglar/A 40376-2023 prioriterade fågelarter.docx", "A 40376-2023")</f>
        <v/>
      </c>
    </row>
    <row r="21" ht="15" customHeight="1">
      <c r="A21" t="inlineStr">
        <is>
          <t>A 12892-2024</t>
        </is>
      </c>
      <c r="B21" s="1" t="n">
        <v>45385</v>
      </c>
      <c r="C21" s="1" t="n">
        <v>45840</v>
      </c>
      <c r="D21" t="inlineStr">
        <is>
          <t>SKÅNE LÄN</t>
        </is>
      </c>
      <c r="E21" t="inlineStr">
        <is>
          <t>HÖRBY</t>
        </is>
      </c>
      <c r="G21" t="n">
        <v>1.5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Blåmossa</t>
        </is>
      </c>
      <c r="S21">
        <f>HYPERLINK("https://klasma.github.io/Logging_1266/artfynd/A 12892-2024 artfynd.xlsx", "A 12892-2024")</f>
        <v/>
      </c>
      <c r="T21">
        <f>HYPERLINK("https://klasma.github.io/Logging_1266/kartor/A 12892-2024 karta.png", "A 12892-2024")</f>
        <v/>
      </c>
      <c r="V21">
        <f>HYPERLINK("https://klasma.github.io/Logging_1266/klagomål/A 12892-2024 FSC-klagomål.docx", "A 12892-2024")</f>
        <v/>
      </c>
      <c r="W21">
        <f>HYPERLINK("https://klasma.github.io/Logging_1266/klagomålsmail/A 12892-2024 FSC-klagomål mail.docx", "A 12892-2024")</f>
        <v/>
      </c>
      <c r="X21">
        <f>HYPERLINK("https://klasma.github.io/Logging_1266/tillsyn/A 12892-2024 tillsynsbegäran.docx", "A 12892-2024")</f>
        <v/>
      </c>
      <c r="Y21">
        <f>HYPERLINK("https://klasma.github.io/Logging_1266/tillsynsmail/A 12892-2024 tillsynsbegäran mail.docx", "A 12892-2024")</f>
        <v/>
      </c>
    </row>
    <row r="22" ht="15" customHeight="1">
      <c r="A22" t="inlineStr">
        <is>
          <t>A 25479-2025</t>
        </is>
      </c>
      <c r="B22" s="1" t="n">
        <v>45802</v>
      </c>
      <c r="C22" s="1" t="n">
        <v>45840</v>
      </c>
      <c r="D22" t="inlineStr">
        <is>
          <t>SKÅNE LÄN</t>
        </is>
      </c>
      <c r="E22" t="inlineStr">
        <is>
          <t>HÖRBY</t>
        </is>
      </c>
      <c r="G22" t="n">
        <v>0.7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Lundvårlök</t>
        </is>
      </c>
      <c r="S22">
        <f>HYPERLINK("https://klasma.github.io/Logging_121266/artfynd/A 25479-2025 artfynd.xlsx", "A 25479-2025")</f>
        <v/>
      </c>
      <c r="T22">
        <f>HYPERLINK("https://klasma.github.io/Logging_121266/kartor/A 25479-2025 karta.png", "A 25479-2025")</f>
        <v/>
      </c>
      <c r="V22">
        <f>HYPERLINK("https://klasma.github.io/Logging_121266/klagomål/A 25479-2025 FSC-klagomål.docx", "A 25479-2025")</f>
        <v/>
      </c>
      <c r="W22">
        <f>HYPERLINK("https://klasma.github.io/Logging_121266/klagomålsmail/A 25479-2025 FSC-klagomål mail.docx", "A 25479-2025")</f>
        <v/>
      </c>
      <c r="X22">
        <f>HYPERLINK("https://klasma.github.io/Logging_121266/tillsyn/A 25479-2025 tillsynsbegäran.docx", "A 25479-2025")</f>
        <v/>
      </c>
      <c r="Y22">
        <f>HYPERLINK("https://klasma.github.io/Logging_121266/tillsynsmail/A 25479-2025 tillsynsbegäran mail.docx", "A 25479-2025")</f>
        <v/>
      </c>
    </row>
    <row r="23" ht="15" customHeight="1">
      <c r="A23" t="inlineStr">
        <is>
          <t>A 21458-2019</t>
        </is>
      </c>
      <c r="B23" s="1" t="n">
        <v>43580</v>
      </c>
      <c r="C23" s="1" t="n">
        <v>45840</v>
      </c>
      <c r="D23" t="inlineStr">
        <is>
          <t>SKÅNE LÄN</t>
        </is>
      </c>
      <c r="E23" t="inlineStr">
        <is>
          <t>HÖRBY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22624-2019</t>
        </is>
      </c>
      <c r="B24" s="1" t="n">
        <v>43588</v>
      </c>
      <c r="C24" s="1" t="n">
        <v>45840</v>
      </c>
      <c r="D24" t="inlineStr">
        <is>
          <t>SKÅNE LÄN</t>
        </is>
      </c>
      <c r="E24" t="inlineStr">
        <is>
          <t>HÖRBY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30268-2019</t>
        </is>
      </c>
      <c r="B25" s="1" t="n">
        <v>43634</v>
      </c>
      <c r="C25" s="1" t="n">
        <v>45840</v>
      </c>
      <c r="D25" t="inlineStr">
        <is>
          <t>SKÅNE LÄN</t>
        </is>
      </c>
      <c r="E25" t="inlineStr">
        <is>
          <t>HÖRBY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44777-2019</t>
        </is>
      </c>
      <c r="B26" s="1" t="n">
        <v>43712</v>
      </c>
      <c r="C26" s="1" t="n">
        <v>45840</v>
      </c>
      <c r="D26" t="inlineStr">
        <is>
          <t>SKÅNE LÄN</t>
        </is>
      </c>
      <c r="E26" t="inlineStr">
        <is>
          <t>HÖRBY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49833-2019</t>
        </is>
      </c>
      <c r="B27" s="1" t="n">
        <v>43733</v>
      </c>
      <c r="C27" s="1" t="n">
        <v>45840</v>
      </c>
      <c r="D27" t="inlineStr">
        <is>
          <t>SKÅNE LÄN</t>
        </is>
      </c>
      <c r="E27" t="inlineStr">
        <is>
          <t>HÖRBY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53072-2019</t>
        </is>
      </c>
      <c r="B28" s="1" t="n">
        <v>43747</v>
      </c>
      <c r="C28" s="1" t="n">
        <v>45840</v>
      </c>
      <c r="D28" t="inlineStr">
        <is>
          <t>SKÅNE LÄN</t>
        </is>
      </c>
      <c r="E28" t="inlineStr">
        <is>
          <t>HÖRBY</t>
        </is>
      </c>
      <c r="F28" t="inlineStr">
        <is>
          <t>Kyrkan</t>
        </is>
      </c>
      <c r="G28" t="n">
        <v>3.4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64629-2019</t>
        </is>
      </c>
      <c r="B29" s="1" t="n">
        <v>43798</v>
      </c>
      <c r="C29" s="1" t="n">
        <v>45840</v>
      </c>
      <c r="D29" t="inlineStr">
        <is>
          <t>SKÅNE LÄN</t>
        </is>
      </c>
      <c r="E29" t="inlineStr">
        <is>
          <t>HÖRBY</t>
        </is>
      </c>
      <c r="G29" t="n">
        <v>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67882-2019</t>
        </is>
      </c>
      <c r="B30" s="1" t="n">
        <v>43816</v>
      </c>
      <c r="C30" s="1" t="n">
        <v>45840</v>
      </c>
      <c r="D30" t="inlineStr">
        <is>
          <t>SKÅNE LÄN</t>
        </is>
      </c>
      <c r="E30" t="inlineStr">
        <is>
          <t>HÖRBY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12140-2020</t>
        </is>
      </c>
      <c r="B31" s="1" t="n">
        <v>43889</v>
      </c>
      <c r="C31" s="1" t="n">
        <v>45840</v>
      </c>
      <c r="D31" t="inlineStr">
        <is>
          <t>SKÅNE LÄN</t>
        </is>
      </c>
      <c r="E31" t="inlineStr">
        <is>
          <t>HÖRBY</t>
        </is>
      </c>
      <c r="G31" t="n">
        <v>7.8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30011-2020</t>
        </is>
      </c>
      <c r="B32" s="1" t="n">
        <v>44006</v>
      </c>
      <c r="C32" s="1" t="n">
        <v>45840</v>
      </c>
      <c r="D32" t="inlineStr">
        <is>
          <t>SKÅNE LÄN</t>
        </is>
      </c>
      <c r="E32" t="inlineStr">
        <is>
          <t>HÖRBY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32499-2020</t>
        </is>
      </c>
      <c r="B33" s="1" t="n">
        <v>44018</v>
      </c>
      <c r="C33" s="1" t="n">
        <v>45840</v>
      </c>
      <c r="D33" t="inlineStr">
        <is>
          <t>SKÅNE LÄN</t>
        </is>
      </c>
      <c r="E33" t="inlineStr">
        <is>
          <t>HÖRBY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33697-2020</t>
        </is>
      </c>
      <c r="B34" s="1" t="n">
        <v>44026</v>
      </c>
      <c r="C34" s="1" t="n">
        <v>45840</v>
      </c>
      <c r="D34" t="inlineStr">
        <is>
          <t>SKÅNE LÄN</t>
        </is>
      </c>
      <c r="E34" t="inlineStr">
        <is>
          <t>HÖRBY</t>
        </is>
      </c>
      <c r="G34" t="n">
        <v>4.8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35872-2020</t>
        </is>
      </c>
      <c r="B35" s="1" t="n">
        <v>44047</v>
      </c>
      <c r="C35" s="1" t="n">
        <v>45840</v>
      </c>
      <c r="D35" t="inlineStr">
        <is>
          <t>SKÅNE LÄN</t>
        </is>
      </c>
      <c r="E35" t="inlineStr">
        <is>
          <t>HÖRBY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36281-2020</t>
        </is>
      </c>
      <c r="B36" s="1" t="n">
        <v>44049</v>
      </c>
      <c r="C36" s="1" t="n">
        <v>45840</v>
      </c>
      <c r="D36" t="inlineStr">
        <is>
          <t>SKÅNE LÄN</t>
        </is>
      </c>
      <c r="E36" t="inlineStr">
        <is>
          <t>HÖRBY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38491-2020</t>
        </is>
      </c>
      <c r="B37" s="1" t="n">
        <v>44061</v>
      </c>
      <c r="C37" s="1" t="n">
        <v>45840</v>
      </c>
      <c r="D37" t="inlineStr">
        <is>
          <t>SKÅNE LÄN</t>
        </is>
      </c>
      <c r="E37" t="inlineStr">
        <is>
          <t>HÖRBY</t>
        </is>
      </c>
      <c r="G37" t="n">
        <v>3.2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39895-2020</t>
        </is>
      </c>
      <c r="B38" s="1" t="n">
        <v>44063</v>
      </c>
      <c r="C38" s="1" t="n">
        <v>45840</v>
      </c>
      <c r="D38" t="inlineStr">
        <is>
          <t>SKÅNE LÄN</t>
        </is>
      </c>
      <c r="E38" t="inlineStr">
        <is>
          <t>HÖRBY</t>
        </is>
      </c>
      <c r="G38" t="n">
        <v>3.7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44079-2020</t>
        </is>
      </c>
      <c r="B39" s="1" t="n">
        <v>44081</v>
      </c>
      <c r="C39" s="1" t="n">
        <v>45840</v>
      </c>
      <c r="D39" t="inlineStr">
        <is>
          <t>SKÅNE LÄN</t>
        </is>
      </c>
      <c r="E39" t="inlineStr">
        <is>
          <t>HÖRBY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58595-2020</t>
        </is>
      </c>
      <c r="B40" s="1" t="n">
        <v>44145</v>
      </c>
      <c r="C40" s="1" t="n">
        <v>45840</v>
      </c>
      <c r="D40" t="inlineStr">
        <is>
          <t>SKÅNE LÄN</t>
        </is>
      </c>
      <c r="E40" t="inlineStr">
        <is>
          <t>HÖRBY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61238-2020</t>
        </is>
      </c>
      <c r="B41" s="1" t="n">
        <v>44155</v>
      </c>
      <c r="C41" s="1" t="n">
        <v>45840</v>
      </c>
      <c r="D41" t="inlineStr">
        <is>
          <t>SKÅNE LÄN</t>
        </is>
      </c>
      <c r="E41" t="inlineStr">
        <is>
          <t>HÖRBY</t>
        </is>
      </c>
      <c r="F41" t="inlineStr">
        <is>
          <t>Kyrkan</t>
        </is>
      </c>
      <c r="G41" t="n">
        <v>8.1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64341-2020</t>
        </is>
      </c>
      <c r="B42" s="1" t="n">
        <v>44165</v>
      </c>
      <c r="C42" s="1" t="n">
        <v>45840</v>
      </c>
      <c r="D42" t="inlineStr">
        <is>
          <t>SKÅNE LÄN</t>
        </is>
      </c>
      <c r="E42" t="inlineStr">
        <is>
          <t>HÖRBY</t>
        </is>
      </c>
      <c r="G42" t="n">
        <v>4.1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65788-2020</t>
        </is>
      </c>
      <c r="B43" s="1" t="n">
        <v>44174</v>
      </c>
      <c r="C43" s="1" t="n">
        <v>45840</v>
      </c>
      <c r="D43" t="inlineStr">
        <is>
          <t>SKÅNE LÄN</t>
        </is>
      </c>
      <c r="E43" t="inlineStr">
        <is>
          <t>HÖRBY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1394-2021</t>
        </is>
      </c>
      <c r="B44" s="1" t="n">
        <v>44208</v>
      </c>
      <c r="C44" s="1" t="n">
        <v>45840</v>
      </c>
      <c r="D44" t="inlineStr">
        <is>
          <t>SKÅNE LÄN</t>
        </is>
      </c>
      <c r="E44" t="inlineStr">
        <is>
          <t>HÖRBY</t>
        </is>
      </c>
      <c r="G44" t="n">
        <v>5.4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4044-2021</t>
        </is>
      </c>
      <c r="B45" s="1" t="n">
        <v>44222</v>
      </c>
      <c r="C45" s="1" t="n">
        <v>45840</v>
      </c>
      <c r="D45" t="inlineStr">
        <is>
          <t>SKÅNE LÄN</t>
        </is>
      </c>
      <c r="E45" t="inlineStr">
        <is>
          <t>HÖRBY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12174-2021</t>
        </is>
      </c>
      <c r="B46" s="1" t="n">
        <v>44266</v>
      </c>
      <c r="C46" s="1" t="n">
        <v>45840</v>
      </c>
      <c r="D46" t="inlineStr">
        <is>
          <t>SKÅNE LÄN</t>
        </is>
      </c>
      <c r="E46" t="inlineStr">
        <is>
          <t>HÖRBY</t>
        </is>
      </c>
      <c r="G46" t="n">
        <v>9.300000000000001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13548-2021</t>
        </is>
      </c>
      <c r="B47" s="1" t="n">
        <v>44273</v>
      </c>
      <c r="C47" s="1" t="n">
        <v>45840</v>
      </c>
      <c r="D47" t="inlineStr">
        <is>
          <t>SKÅNE LÄN</t>
        </is>
      </c>
      <c r="E47" t="inlineStr">
        <is>
          <t>HÖRBY</t>
        </is>
      </c>
      <c r="G47" t="n">
        <v>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13550-2021</t>
        </is>
      </c>
      <c r="B48" s="1" t="n">
        <v>44273</v>
      </c>
      <c r="C48" s="1" t="n">
        <v>45840</v>
      </c>
      <c r="D48" t="inlineStr">
        <is>
          <t>SKÅNE LÄN</t>
        </is>
      </c>
      <c r="E48" t="inlineStr">
        <is>
          <t>HÖRBY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15768-2021</t>
        </is>
      </c>
      <c r="B49" s="1" t="n">
        <v>44286</v>
      </c>
      <c r="C49" s="1" t="n">
        <v>45840</v>
      </c>
      <c r="D49" t="inlineStr">
        <is>
          <t>SKÅNE LÄN</t>
        </is>
      </c>
      <c r="E49" t="inlineStr">
        <is>
          <t>HÖRBY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19308-2021</t>
        </is>
      </c>
      <c r="B50" s="1" t="n">
        <v>44309</v>
      </c>
      <c r="C50" s="1" t="n">
        <v>45840</v>
      </c>
      <c r="D50" t="inlineStr">
        <is>
          <t>SKÅNE LÄN</t>
        </is>
      </c>
      <c r="E50" t="inlineStr">
        <is>
          <t>HÖRBY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19581-2021</t>
        </is>
      </c>
      <c r="B51" s="1" t="n">
        <v>44312</v>
      </c>
      <c r="C51" s="1" t="n">
        <v>45840</v>
      </c>
      <c r="D51" t="inlineStr">
        <is>
          <t>SKÅNE LÄN</t>
        </is>
      </c>
      <c r="E51" t="inlineStr">
        <is>
          <t>HÖRBY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19583-2021</t>
        </is>
      </c>
      <c r="B52" s="1" t="n">
        <v>44312</v>
      </c>
      <c r="C52" s="1" t="n">
        <v>45840</v>
      </c>
      <c r="D52" t="inlineStr">
        <is>
          <t>SKÅNE LÄN</t>
        </is>
      </c>
      <c r="E52" t="inlineStr">
        <is>
          <t>HÖRBY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27817-2021</t>
        </is>
      </c>
      <c r="B53" s="1" t="n">
        <v>44354</v>
      </c>
      <c r="C53" s="1" t="n">
        <v>45840</v>
      </c>
      <c r="D53" t="inlineStr">
        <is>
          <t>SKÅNE LÄN</t>
        </is>
      </c>
      <c r="E53" t="inlineStr">
        <is>
          <t>HÖRBY</t>
        </is>
      </c>
      <c r="G53" t="n">
        <v>3.2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32545-2021</t>
        </is>
      </c>
      <c r="B54" s="1" t="n">
        <v>44374</v>
      </c>
      <c r="C54" s="1" t="n">
        <v>45840</v>
      </c>
      <c r="D54" t="inlineStr">
        <is>
          <t>SKÅNE LÄN</t>
        </is>
      </c>
      <c r="E54" t="inlineStr">
        <is>
          <t>HÖRBY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32543-2021</t>
        </is>
      </c>
      <c r="B55" s="1" t="n">
        <v>44375</v>
      </c>
      <c r="C55" s="1" t="n">
        <v>45840</v>
      </c>
      <c r="D55" t="inlineStr">
        <is>
          <t>SKÅNE LÄN</t>
        </is>
      </c>
      <c r="E55" t="inlineStr">
        <is>
          <t>HÖRBY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32546-2021</t>
        </is>
      </c>
      <c r="B56" s="1" t="n">
        <v>44375</v>
      </c>
      <c r="C56" s="1" t="n">
        <v>45840</v>
      </c>
      <c r="D56" t="inlineStr">
        <is>
          <t>SKÅNE LÄN</t>
        </is>
      </c>
      <c r="E56" t="inlineStr">
        <is>
          <t>HÖRBY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34120-2021</t>
        </is>
      </c>
      <c r="B57" s="1" t="n">
        <v>44379</v>
      </c>
      <c r="C57" s="1" t="n">
        <v>45840</v>
      </c>
      <c r="D57" t="inlineStr">
        <is>
          <t>SKÅNE LÄN</t>
        </is>
      </c>
      <c r="E57" t="inlineStr">
        <is>
          <t>HÖRBY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34105-2021</t>
        </is>
      </c>
      <c r="B58" s="1" t="n">
        <v>44379</v>
      </c>
      <c r="C58" s="1" t="n">
        <v>45840</v>
      </c>
      <c r="D58" t="inlineStr">
        <is>
          <t>SKÅNE LÄN</t>
        </is>
      </c>
      <c r="E58" t="inlineStr">
        <is>
          <t>HÖRBY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42221-2021</t>
        </is>
      </c>
      <c r="B59" s="1" t="n">
        <v>44426</v>
      </c>
      <c r="C59" s="1" t="n">
        <v>45840</v>
      </c>
      <c r="D59" t="inlineStr">
        <is>
          <t>SKÅNE LÄN</t>
        </is>
      </c>
      <c r="E59" t="inlineStr">
        <is>
          <t>HÖRBY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52832-2021</t>
        </is>
      </c>
      <c r="B60" s="1" t="n">
        <v>44466</v>
      </c>
      <c r="C60" s="1" t="n">
        <v>45840</v>
      </c>
      <c r="D60" t="inlineStr">
        <is>
          <t>SKÅNE LÄN</t>
        </is>
      </c>
      <c r="E60" t="inlineStr">
        <is>
          <t>HÖRBY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63559-2021</t>
        </is>
      </c>
      <c r="B61" s="1" t="n">
        <v>44508</v>
      </c>
      <c r="C61" s="1" t="n">
        <v>45840</v>
      </c>
      <c r="D61" t="inlineStr">
        <is>
          <t>SKÅNE LÄN</t>
        </is>
      </c>
      <c r="E61" t="inlineStr">
        <is>
          <t>HÖRBY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64128-2021</t>
        </is>
      </c>
      <c r="B62" s="1" t="n">
        <v>44509</v>
      </c>
      <c r="C62" s="1" t="n">
        <v>45840</v>
      </c>
      <c r="D62" t="inlineStr">
        <is>
          <t>SKÅNE LÄN</t>
        </is>
      </c>
      <c r="E62" t="inlineStr">
        <is>
          <t>HÖRBY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63913-2021</t>
        </is>
      </c>
      <c r="B63" s="1" t="n">
        <v>44509</v>
      </c>
      <c r="C63" s="1" t="n">
        <v>45840</v>
      </c>
      <c r="D63" t="inlineStr">
        <is>
          <t>SKÅNE LÄN</t>
        </is>
      </c>
      <c r="E63" t="inlineStr">
        <is>
          <t>HÖRBY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64255-2021</t>
        </is>
      </c>
      <c r="B64" s="1" t="n">
        <v>44510</v>
      </c>
      <c r="C64" s="1" t="n">
        <v>45840</v>
      </c>
      <c r="D64" t="inlineStr">
        <is>
          <t>SKÅNE LÄN</t>
        </is>
      </c>
      <c r="E64" t="inlineStr">
        <is>
          <t>HÖRBY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66099-2021</t>
        </is>
      </c>
      <c r="B65" s="1" t="n">
        <v>44517</v>
      </c>
      <c r="C65" s="1" t="n">
        <v>45840</v>
      </c>
      <c r="D65" t="inlineStr">
        <is>
          <t>SKÅNE LÄN</t>
        </is>
      </c>
      <c r="E65" t="inlineStr">
        <is>
          <t>HÖRBY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67426-2021</t>
        </is>
      </c>
      <c r="B66" s="1" t="n">
        <v>44523</v>
      </c>
      <c r="C66" s="1" t="n">
        <v>45840</v>
      </c>
      <c r="D66" t="inlineStr">
        <is>
          <t>SKÅNE LÄN</t>
        </is>
      </c>
      <c r="E66" t="inlineStr">
        <is>
          <t>HÖRBY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255-2022</t>
        </is>
      </c>
      <c r="B67" s="1" t="n">
        <v>44565</v>
      </c>
      <c r="C67" s="1" t="n">
        <v>45840</v>
      </c>
      <c r="D67" t="inlineStr">
        <is>
          <t>SKÅNE LÄN</t>
        </is>
      </c>
      <c r="E67" t="inlineStr">
        <is>
          <t>HÖRBY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8714-2022</t>
        </is>
      </c>
      <c r="B68" s="1" t="n">
        <v>44613</v>
      </c>
      <c r="C68" s="1" t="n">
        <v>45840</v>
      </c>
      <c r="D68" t="inlineStr">
        <is>
          <t>SKÅNE LÄN</t>
        </is>
      </c>
      <c r="E68" t="inlineStr">
        <is>
          <t>HÖRBY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10971-2022</t>
        </is>
      </c>
      <c r="B69" s="1" t="n">
        <v>44628</v>
      </c>
      <c r="C69" s="1" t="n">
        <v>45840</v>
      </c>
      <c r="D69" t="inlineStr">
        <is>
          <t>SKÅNE LÄN</t>
        </is>
      </c>
      <c r="E69" t="inlineStr">
        <is>
          <t>HÖRBY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13242-2022</t>
        </is>
      </c>
      <c r="B70" s="1" t="n">
        <v>44644</v>
      </c>
      <c r="C70" s="1" t="n">
        <v>45840</v>
      </c>
      <c r="D70" t="inlineStr">
        <is>
          <t>SKÅNE LÄN</t>
        </is>
      </c>
      <c r="E70" t="inlineStr">
        <is>
          <t>HÖRBY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15794-2022</t>
        </is>
      </c>
      <c r="B71" s="1" t="n">
        <v>44663</v>
      </c>
      <c r="C71" s="1" t="n">
        <v>45840</v>
      </c>
      <c r="D71" t="inlineStr">
        <is>
          <t>SKÅNE LÄN</t>
        </is>
      </c>
      <c r="E71" t="inlineStr">
        <is>
          <t>HÖRBY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19420-2022</t>
        </is>
      </c>
      <c r="B72" s="1" t="n">
        <v>44693</v>
      </c>
      <c r="C72" s="1" t="n">
        <v>45840</v>
      </c>
      <c r="D72" t="inlineStr">
        <is>
          <t>SKÅNE LÄN</t>
        </is>
      </c>
      <c r="E72" t="inlineStr">
        <is>
          <t>HÖRBY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19970-2022</t>
        </is>
      </c>
      <c r="B73" s="1" t="n">
        <v>44697</v>
      </c>
      <c r="C73" s="1" t="n">
        <v>45840</v>
      </c>
      <c r="D73" t="inlineStr">
        <is>
          <t>SKÅNE LÄN</t>
        </is>
      </c>
      <c r="E73" t="inlineStr">
        <is>
          <t>HÖRBY</t>
        </is>
      </c>
      <c r="G73" t="n">
        <v>4.2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19981-2022</t>
        </is>
      </c>
      <c r="B74" s="1" t="n">
        <v>44697</v>
      </c>
      <c r="C74" s="1" t="n">
        <v>45840</v>
      </c>
      <c r="D74" t="inlineStr">
        <is>
          <t>SKÅNE LÄN</t>
        </is>
      </c>
      <c r="E74" t="inlineStr">
        <is>
          <t>HÖRBY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25850-2022</t>
        </is>
      </c>
      <c r="B75" s="1" t="n">
        <v>44733</v>
      </c>
      <c r="C75" s="1" t="n">
        <v>45840</v>
      </c>
      <c r="D75" t="inlineStr">
        <is>
          <t>SKÅNE LÄN</t>
        </is>
      </c>
      <c r="E75" t="inlineStr">
        <is>
          <t>HÖRBY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25852-2022</t>
        </is>
      </c>
      <c r="B76" s="1" t="n">
        <v>44733</v>
      </c>
      <c r="C76" s="1" t="n">
        <v>45840</v>
      </c>
      <c r="D76" t="inlineStr">
        <is>
          <t>SKÅNE LÄN</t>
        </is>
      </c>
      <c r="E76" t="inlineStr">
        <is>
          <t>HÖRBY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31285-2022</t>
        </is>
      </c>
      <c r="B77" s="1" t="n">
        <v>44771</v>
      </c>
      <c r="C77" s="1" t="n">
        <v>45840</v>
      </c>
      <c r="D77" t="inlineStr">
        <is>
          <t>SKÅNE LÄN</t>
        </is>
      </c>
      <c r="E77" t="inlineStr">
        <is>
          <t>HÖRBY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31522-2022</t>
        </is>
      </c>
      <c r="B78" s="1" t="n">
        <v>44775</v>
      </c>
      <c r="C78" s="1" t="n">
        <v>45840</v>
      </c>
      <c r="D78" t="inlineStr">
        <is>
          <t>SKÅNE LÄN</t>
        </is>
      </c>
      <c r="E78" t="inlineStr">
        <is>
          <t>HÖRBY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32597-2022</t>
        </is>
      </c>
      <c r="B79" s="1" t="n">
        <v>44783</v>
      </c>
      <c r="C79" s="1" t="n">
        <v>45840</v>
      </c>
      <c r="D79" t="inlineStr">
        <is>
          <t>SKÅNE LÄN</t>
        </is>
      </c>
      <c r="E79" t="inlineStr">
        <is>
          <t>HÖRBY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32863-2022</t>
        </is>
      </c>
      <c r="B80" s="1" t="n">
        <v>44784</v>
      </c>
      <c r="C80" s="1" t="n">
        <v>45840</v>
      </c>
      <c r="D80" t="inlineStr">
        <is>
          <t>SKÅNE LÄN</t>
        </is>
      </c>
      <c r="E80" t="inlineStr">
        <is>
          <t>HÖRBY</t>
        </is>
      </c>
      <c r="G80" t="n">
        <v>4.9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32877-2022</t>
        </is>
      </c>
      <c r="B81" s="1" t="n">
        <v>44784</v>
      </c>
      <c r="C81" s="1" t="n">
        <v>45840</v>
      </c>
      <c r="D81" t="inlineStr">
        <is>
          <t>SKÅNE LÄN</t>
        </is>
      </c>
      <c r="E81" t="inlineStr">
        <is>
          <t>HÖRBY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33571-2022</t>
        </is>
      </c>
      <c r="B82" s="1" t="n">
        <v>44789</v>
      </c>
      <c r="C82" s="1" t="n">
        <v>45840</v>
      </c>
      <c r="D82" t="inlineStr">
        <is>
          <t>SKÅNE LÄN</t>
        </is>
      </c>
      <c r="E82" t="inlineStr">
        <is>
          <t>HÖRBY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37724-2022</t>
        </is>
      </c>
      <c r="B83" s="1" t="n">
        <v>44810</v>
      </c>
      <c r="C83" s="1" t="n">
        <v>45840</v>
      </c>
      <c r="D83" t="inlineStr">
        <is>
          <t>SKÅNE LÄN</t>
        </is>
      </c>
      <c r="E83" t="inlineStr">
        <is>
          <t>HÖRBY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37728-2022</t>
        </is>
      </c>
      <c r="B84" s="1" t="n">
        <v>44810</v>
      </c>
      <c r="C84" s="1" t="n">
        <v>45840</v>
      </c>
      <c r="D84" t="inlineStr">
        <is>
          <t>SKÅNE LÄN</t>
        </is>
      </c>
      <c r="E84" t="inlineStr">
        <is>
          <t>HÖRBY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38684-2022</t>
        </is>
      </c>
      <c r="B85" s="1" t="n">
        <v>44814</v>
      </c>
      <c r="C85" s="1" t="n">
        <v>45840</v>
      </c>
      <c r="D85" t="inlineStr">
        <is>
          <t>SKÅNE LÄN</t>
        </is>
      </c>
      <c r="E85" t="inlineStr">
        <is>
          <t>HÖRBY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38704-2022</t>
        </is>
      </c>
      <c r="B86" s="1" t="n">
        <v>44814</v>
      </c>
      <c r="C86" s="1" t="n">
        <v>45840</v>
      </c>
      <c r="D86" t="inlineStr">
        <is>
          <t>SKÅNE LÄN</t>
        </is>
      </c>
      <c r="E86" t="inlineStr">
        <is>
          <t>HÖRBY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39844-2022</t>
        </is>
      </c>
      <c r="B87" s="1" t="n">
        <v>44819</v>
      </c>
      <c r="C87" s="1" t="n">
        <v>45840</v>
      </c>
      <c r="D87" t="inlineStr">
        <is>
          <t>SKÅNE LÄN</t>
        </is>
      </c>
      <c r="E87" t="inlineStr">
        <is>
          <t>HÖRBY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39849-2022</t>
        </is>
      </c>
      <c r="B88" s="1" t="n">
        <v>44819</v>
      </c>
      <c r="C88" s="1" t="n">
        <v>45840</v>
      </c>
      <c r="D88" t="inlineStr">
        <is>
          <t>SKÅNE LÄN</t>
        </is>
      </c>
      <c r="E88" t="inlineStr">
        <is>
          <t>HÖRBY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43380-2022</t>
        </is>
      </c>
      <c r="B89" s="1" t="n">
        <v>44834</v>
      </c>
      <c r="C89" s="1" t="n">
        <v>45840</v>
      </c>
      <c r="D89" t="inlineStr">
        <is>
          <t>SKÅNE LÄN</t>
        </is>
      </c>
      <c r="E89" t="inlineStr">
        <is>
          <t>HÖRBY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43389-2022</t>
        </is>
      </c>
      <c r="B90" s="1" t="n">
        <v>44834</v>
      </c>
      <c r="C90" s="1" t="n">
        <v>45840</v>
      </c>
      <c r="D90" t="inlineStr">
        <is>
          <t>SKÅNE LÄN</t>
        </is>
      </c>
      <c r="E90" t="inlineStr">
        <is>
          <t>HÖRBY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43392-2022</t>
        </is>
      </c>
      <c r="B91" s="1" t="n">
        <v>44834</v>
      </c>
      <c r="C91" s="1" t="n">
        <v>45840</v>
      </c>
      <c r="D91" t="inlineStr">
        <is>
          <t>SKÅNE LÄN</t>
        </is>
      </c>
      <c r="E91" t="inlineStr">
        <is>
          <t>HÖRBY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43682-2022</t>
        </is>
      </c>
      <c r="B92" s="1" t="n">
        <v>44837</v>
      </c>
      <c r="C92" s="1" t="n">
        <v>45840</v>
      </c>
      <c r="D92" t="inlineStr">
        <is>
          <t>SKÅNE LÄN</t>
        </is>
      </c>
      <c r="E92" t="inlineStr">
        <is>
          <t>HÖRBY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43685-2022</t>
        </is>
      </c>
      <c r="B93" s="1" t="n">
        <v>44837</v>
      </c>
      <c r="C93" s="1" t="n">
        <v>45840</v>
      </c>
      <c r="D93" t="inlineStr">
        <is>
          <t>SKÅNE LÄN</t>
        </is>
      </c>
      <c r="E93" t="inlineStr">
        <is>
          <t>HÖRBY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45330-2022</t>
        </is>
      </c>
      <c r="B94" s="1" t="n">
        <v>44844</v>
      </c>
      <c r="C94" s="1" t="n">
        <v>45840</v>
      </c>
      <c r="D94" t="inlineStr">
        <is>
          <t>SKÅNE LÄN</t>
        </is>
      </c>
      <c r="E94" t="inlineStr">
        <is>
          <t>HÖRBY</t>
        </is>
      </c>
      <c r="F94" t="inlineStr">
        <is>
          <t>Sveaskog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45317-2022</t>
        </is>
      </c>
      <c r="B95" s="1" t="n">
        <v>44844</v>
      </c>
      <c r="C95" s="1" t="n">
        <v>45840</v>
      </c>
      <c r="D95" t="inlineStr">
        <is>
          <t>SKÅNE LÄN</t>
        </is>
      </c>
      <c r="E95" t="inlineStr">
        <is>
          <t>HÖRBY</t>
        </is>
      </c>
      <c r="F95" t="inlineStr">
        <is>
          <t>Sveaskog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45323-2022</t>
        </is>
      </c>
      <c r="B96" s="1" t="n">
        <v>44844</v>
      </c>
      <c r="C96" s="1" t="n">
        <v>45840</v>
      </c>
      <c r="D96" t="inlineStr">
        <is>
          <t>SKÅNE LÄN</t>
        </is>
      </c>
      <c r="E96" t="inlineStr">
        <is>
          <t>HÖRBY</t>
        </is>
      </c>
      <c r="F96" t="inlineStr">
        <is>
          <t>Sveaskog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46061-2022</t>
        </is>
      </c>
      <c r="B97" s="1" t="n">
        <v>44847</v>
      </c>
      <c r="C97" s="1" t="n">
        <v>45840</v>
      </c>
      <c r="D97" t="inlineStr">
        <is>
          <t>SKÅNE LÄN</t>
        </is>
      </c>
      <c r="E97" t="inlineStr">
        <is>
          <t>HÖRBY</t>
        </is>
      </c>
      <c r="G97" t="n">
        <v>4.7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48434-2022</t>
        </is>
      </c>
      <c r="B98" s="1" t="n">
        <v>44858</v>
      </c>
      <c r="C98" s="1" t="n">
        <v>45840</v>
      </c>
      <c r="D98" t="inlineStr">
        <is>
          <t>SKÅNE LÄN</t>
        </is>
      </c>
      <c r="E98" t="inlineStr">
        <is>
          <t>HÖRBY</t>
        </is>
      </c>
      <c r="F98" t="inlineStr">
        <is>
          <t>Sveaskog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48204-2022</t>
        </is>
      </c>
      <c r="B99" s="1" t="n">
        <v>44858</v>
      </c>
      <c r="C99" s="1" t="n">
        <v>45840</v>
      </c>
      <c r="D99" t="inlineStr">
        <is>
          <t>SKÅNE LÄN</t>
        </is>
      </c>
      <c r="E99" t="inlineStr">
        <is>
          <t>HÖRBY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48397-2022</t>
        </is>
      </c>
      <c r="B100" s="1" t="n">
        <v>44858</v>
      </c>
      <c r="C100" s="1" t="n">
        <v>45840</v>
      </c>
      <c r="D100" t="inlineStr">
        <is>
          <t>SKÅNE LÄN</t>
        </is>
      </c>
      <c r="E100" t="inlineStr">
        <is>
          <t>HÖRBY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48441-2022</t>
        </is>
      </c>
      <c r="B101" s="1" t="n">
        <v>44858</v>
      </c>
      <c r="C101" s="1" t="n">
        <v>45840</v>
      </c>
      <c r="D101" t="inlineStr">
        <is>
          <t>SKÅNE LÄN</t>
        </is>
      </c>
      <c r="E101" t="inlineStr">
        <is>
          <t>HÖRBY</t>
        </is>
      </c>
      <c r="F101" t="inlineStr">
        <is>
          <t>Sveaskog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48427-2022</t>
        </is>
      </c>
      <c r="B102" s="1" t="n">
        <v>44858</v>
      </c>
      <c r="C102" s="1" t="n">
        <v>45840</v>
      </c>
      <c r="D102" t="inlineStr">
        <is>
          <t>SKÅNE LÄN</t>
        </is>
      </c>
      <c r="E102" t="inlineStr">
        <is>
          <t>HÖRBY</t>
        </is>
      </c>
      <c r="F102" t="inlineStr">
        <is>
          <t>Sveaskog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49071-2022</t>
        </is>
      </c>
      <c r="B103" s="1" t="n">
        <v>44860</v>
      </c>
      <c r="C103" s="1" t="n">
        <v>45840</v>
      </c>
      <c r="D103" t="inlineStr">
        <is>
          <t>SKÅNE LÄN</t>
        </is>
      </c>
      <c r="E103" t="inlineStr">
        <is>
          <t>HÖRBY</t>
        </is>
      </c>
      <c r="G103" t="n">
        <v>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50963-2022</t>
        </is>
      </c>
      <c r="B104" s="1" t="n">
        <v>44867</v>
      </c>
      <c r="C104" s="1" t="n">
        <v>45840</v>
      </c>
      <c r="D104" t="inlineStr">
        <is>
          <t>SKÅNE LÄN</t>
        </is>
      </c>
      <c r="E104" t="inlineStr">
        <is>
          <t>HÖRBY</t>
        </is>
      </c>
      <c r="G104" t="n">
        <v>15.1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50964-2022</t>
        </is>
      </c>
      <c r="B105" s="1" t="n">
        <v>44867</v>
      </c>
      <c r="C105" s="1" t="n">
        <v>45840</v>
      </c>
      <c r="D105" t="inlineStr">
        <is>
          <t>SKÅNE LÄN</t>
        </is>
      </c>
      <c r="E105" t="inlineStr">
        <is>
          <t>HÖRBY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51826-2022</t>
        </is>
      </c>
      <c r="B106" s="1" t="n">
        <v>44872</v>
      </c>
      <c r="C106" s="1" t="n">
        <v>45840</v>
      </c>
      <c r="D106" t="inlineStr">
        <is>
          <t>SKÅNE LÄN</t>
        </is>
      </c>
      <c r="E106" t="inlineStr">
        <is>
          <t>HÖRBY</t>
        </is>
      </c>
      <c r="F106" t="inlineStr">
        <is>
          <t>Sveaskog</t>
        </is>
      </c>
      <c r="G106" t="n">
        <v>14.3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53464-2022</t>
        </is>
      </c>
      <c r="B107" s="1" t="n">
        <v>44879</v>
      </c>
      <c r="C107" s="1" t="n">
        <v>45840</v>
      </c>
      <c r="D107" t="inlineStr">
        <is>
          <t>SKÅNE LÄN</t>
        </is>
      </c>
      <c r="E107" t="inlineStr">
        <is>
          <t>HÖRBY</t>
        </is>
      </c>
      <c r="F107" t="inlineStr">
        <is>
          <t>Sveaskog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54102-2022</t>
        </is>
      </c>
      <c r="B108" s="1" t="n">
        <v>44881</v>
      </c>
      <c r="C108" s="1" t="n">
        <v>45840</v>
      </c>
      <c r="D108" t="inlineStr">
        <is>
          <t>SKÅNE LÄN</t>
        </is>
      </c>
      <c r="E108" t="inlineStr">
        <is>
          <t>HÖRBY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54099-2022</t>
        </is>
      </c>
      <c r="B109" s="1" t="n">
        <v>44881</v>
      </c>
      <c r="C109" s="1" t="n">
        <v>45840</v>
      </c>
      <c r="D109" t="inlineStr">
        <is>
          <t>SKÅNE LÄN</t>
        </is>
      </c>
      <c r="E109" t="inlineStr">
        <is>
          <t>HÖRBY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56203-2022</t>
        </is>
      </c>
      <c r="B110" s="1" t="n">
        <v>44890</v>
      </c>
      <c r="C110" s="1" t="n">
        <v>45840</v>
      </c>
      <c r="D110" t="inlineStr">
        <is>
          <t>SKÅNE LÄN</t>
        </is>
      </c>
      <c r="E110" t="inlineStr">
        <is>
          <t>HÖRBY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56427-2022</t>
        </is>
      </c>
      <c r="B111" s="1" t="n">
        <v>44891</v>
      </c>
      <c r="C111" s="1" t="n">
        <v>45840</v>
      </c>
      <c r="D111" t="inlineStr">
        <is>
          <t>SKÅNE LÄN</t>
        </is>
      </c>
      <c r="E111" t="inlineStr">
        <is>
          <t>HÖRBY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56486-2022</t>
        </is>
      </c>
      <c r="B112" s="1" t="n">
        <v>44893</v>
      </c>
      <c r="C112" s="1" t="n">
        <v>45840</v>
      </c>
      <c r="D112" t="inlineStr">
        <is>
          <t>SKÅNE LÄN</t>
        </is>
      </c>
      <c r="E112" t="inlineStr">
        <is>
          <t>HÖRBY</t>
        </is>
      </c>
      <c r="F112" t="inlineStr">
        <is>
          <t>Sveaskog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56818-2022</t>
        </is>
      </c>
      <c r="B113" s="1" t="n">
        <v>44894</v>
      </c>
      <c r="C113" s="1" t="n">
        <v>45840</v>
      </c>
      <c r="D113" t="inlineStr">
        <is>
          <t>SKÅNE LÄN</t>
        </is>
      </c>
      <c r="E113" t="inlineStr">
        <is>
          <t>HÖRBY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57036-2022</t>
        </is>
      </c>
      <c r="B114" s="1" t="n">
        <v>44895</v>
      </c>
      <c r="C114" s="1" t="n">
        <v>45840</v>
      </c>
      <c r="D114" t="inlineStr">
        <is>
          <t>SKÅNE LÄN</t>
        </is>
      </c>
      <c r="E114" t="inlineStr">
        <is>
          <t>HÖRBY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119-2023</t>
        </is>
      </c>
      <c r="B115" s="1" t="n">
        <v>44928</v>
      </c>
      <c r="C115" s="1" t="n">
        <v>45840</v>
      </c>
      <c r="D115" t="inlineStr">
        <is>
          <t>SKÅNE LÄN</t>
        </is>
      </c>
      <c r="E115" t="inlineStr">
        <is>
          <t>HÖRBY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1106-2023</t>
        </is>
      </c>
      <c r="B116" s="1" t="n">
        <v>44935</v>
      </c>
      <c r="C116" s="1" t="n">
        <v>45840</v>
      </c>
      <c r="D116" t="inlineStr">
        <is>
          <t>SKÅNE LÄN</t>
        </is>
      </c>
      <c r="E116" t="inlineStr">
        <is>
          <t>HÖRBY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2145-2023</t>
        </is>
      </c>
      <c r="B117" s="1" t="n">
        <v>44940</v>
      </c>
      <c r="C117" s="1" t="n">
        <v>45840</v>
      </c>
      <c r="D117" t="inlineStr">
        <is>
          <t>SKÅNE LÄN</t>
        </is>
      </c>
      <c r="E117" t="inlineStr">
        <is>
          <t>HÖRBY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2747-2023</t>
        </is>
      </c>
      <c r="B118" s="1" t="n">
        <v>44944</v>
      </c>
      <c r="C118" s="1" t="n">
        <v>45840</v>
      </c>
      <c r="D118" t="inlineStr">
        <is>
          <t>SKÅNE LÄN</t>
        </is>
      </c>
      <c r="E118" t="inlineStr">
        <is>
          <t>HÖRBY</t>
        </is>
      </c>
      <c r="F118" t="inlineStr">
        <is>
          <t>Sveaskog</t>
        </is>
      </c>
      <c r="G118" t="n">
        <v>4.6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2752-2023</t>
        </is>
      </c>
      <c r="B119" s="1" t="n">
        <v>44944</v>
      </c>
      <c r="C119" s="1" t="n">
        <v>45840</v>
      </c>
      <c r="D119" t="inlineStr">
        <is>
          <t>SKÅNE LÄN</t>
        </is>
      </c>
      <c r="E119" t="inlineStr">
        <is>
          <t>HÖRBY</t>
        </is>
      </c>
      <c r="F119" t="inlineStr">
        <is>
          <t>Sveaskog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3239-2023</t>
        </is>
      </c>
      <c r="B120" s="1" t="n">
        <v>44946</v>
      </c>
      <c r="C120" s="1" t="n">
        <v>45840</v>
      </c>
      <c r="D120" t="inlineStr">
        <is>
          <t>SKÅNE LÄN</t>
        </is>
      </c>
      <c r="E120" t="inlineStr">
        <is>
          <t>HÖRBY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5751-2023</t>
        </is>
      </c>
      <c r="B121" s="1" t="n">
        <v>44958</v>
      </c>
      <c r="C121" s="1" t="n">
        <v>45840</v>
      </c>
      <c r="D121" t="inlineStr">
        <is>
          <t>SKÅNE LÄN</t>
        </is>
      </c>
      <c r="E121" t="inlineStr">
        <is>
          <t>HÖRBY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6081-2023</t>
        </is>
      </c>
      <c r="B122" s="1" t="n">
        <v>44959</v>
      </c>
      <c r="C122" s="1" t="n">
        <v>45840</v>
      </c>
      <c r="D122" t="inlineStr">
        <is>
          <t>SKÅNE LÄN</t>
        </is>
      </c>
      <c r="E122" t="inlineStr">
        <is>
          <t>HÖRBY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5734-2023</t>
        </is>
      </c>
      <c r="B123" s="1" t="n">
        <v>44962</v>
      </c>
      <c r="C123" s="1" t="n">
        <v>45840</v>
      </c>
      <c r="D123" t="inlineStr">
        <is>
          <t>SKÅNE LÄN</t>
        </is>
      </c>
      <c r="E123" t="inlineStr">
        <is>
          <t>HÖRBY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15051-2023</t>
        </is>
      </c>
      <c r="B124" s="1" t="n">
        <v>45015</v>
      </c>
      <c r="C124" s="1" t="n">
        <v>45840</v>
      </c>
      <c r="D124" t="inlineStr">
        <is>
          <t>SKÅNE LÄN</t>
        </is>
      </c>
      <c r="E124" t="inlineStr">
        <is>
          <t>HÖRBY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17073-2023</t>
        </is>
      </c>
      <c r="B125" s="1" t="n">
        <v>45034</v>
      </c>
      <c r="C125" s="1" t="n">
        <v>45840</v>
      </c>
      <c r="D125" t="inlineStr">
        <is>
          <t>SKÅNE LÄN</t>
        </is>
      </c>
      <c r="E125" t="inlineStr">
        <is>
          <t>HÖRBY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18735-2023</t>
        </is>
      </c>
      <c r="B126" s="1" t="n">
        <v>45043</v>
      </c>
      <c r="C126" s="1" t="n">
        <v>45840</v>
      </c>
      <c r="D126" t="inlineStr">
        <is>
          <t>SKÅNE LÄN</t>
        </is>
      </c>
      <c r="E126" t="inlineStr">
        <is>
          <t>HÖRBY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19777-2023</t>
        </is>
      </c>
      <c r="B127" s="1" t="n">
        <v>45051</v>
      </c>
      <c r="C127" s="1" t="n">
        <v>45840</v>
      </c>
      <c r="D127" t="inlineStr">
        <is>
          <t>SKÅNE LÄN</t>
        </is>
      </c>
      <c r="E127" t="inlineStr">
        <is>
          <t>HÖRBY</t>
        </is>
      </c>
      <c r="G127" t="n">
        <v>4.3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23328-2023</t>
        </is>
      </c>
      <c r="B128" s="1" t="n">
        <v>45076</v>
      </c>
      <c r="C128" s="1" t="n">
        <v>45840</v>
      </c>
      <c r="D128" t="inlineStr">
        <is>
          <t>SKÅNE LÄN</t>
        </is>
      </c>
      <c r="E128" t="inlineStr">
        <is>
          <t>HÖRBY</t>
        </is>
      </c>
      <c r="F128" t="inlineStr">
        <is>
          <t>Sveaskog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25183-2023</t>
        </is>
      </c>
      <c r="B129" s="1" t="n">
        <v>45079</v>
      </c>
      <c r="C129" s="1" t="n">
        <v>45840</v>
      </c>
      <c r="D129" t="inlineStr">
        <is>
          <t>SKÅNE LÄN</t>
        </is>
      </c>
      <c r="E129" t="inlineStr">
        <is>
          <t>HÖRBY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25701-2023</t>
        </is>
      </c>
      <c r="B130" s="1" t="n">
        <v>45090</v>
      </c>
      <c r="C130" s="1" t="n">
        <v>45840</v>
      </c>
      <c r="D130" t="inlineStr">
        <is>
          <t>SKÅNE LÄN</t>
        </is>
      </c>
      <c r="E130" t="inlineStr">
        <is>
          <t>HÖRBY</t>
        </is>
      </c>
      <c r="G130" t="n">
        <v>10.8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27826-2023</t>
        </is>
      </c>
      <c r="B131" s="1" t="n">
        <v>45098</v>
      </c>
      <c r="C131" s="1" t="n">
        <v>45840</v>
      </c>
      <c r="D131" t="inlineStr">
        <is>
          <t>SKÅNE LÄN</t>
        </is>
      </c>
      <c r="E131" t="inlineStr">
        <is>
          <t>HÖRBY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28519-2023</t>
        </is>
      </c>
      <c r="B132" s="1" t="n">
        <v>45103</v>
      </c>
      <c r="C132" s="1" t="n">
        <v>45840</v>
      </c>
      <c r="D132" t="inlineStr">
        <is>
          <t>SKÅNE LÄN</t>
        </is>
      </c>
      <c r="E132" t="inlineStr">
        <is>
          <t>HÖRBY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28527-2023</t>
        </is>
      </c>
      <c r="B133" s="1" t="n">
        <v>45103</v>
      </c>
      <c r="C133" s="1" t="n">
        <v>45840</v>
      </c>
      <c r="D133" t="inlineStr">
        <is>
          <t>SKÅNE LÄN</t>
        </is>
      </c>
      <c r="E133" t="inlineStr">
        <is>
          <t>HÖRBY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28493-2023</t>
        </is>
      </c>
      <c r="B134" s="1" t="n">
        <v>45103</v>
      </c>
      <c r="C134" s="1" t="n">
        <v>45840</v>
      </c>
      <c r="D134" t="inlineStr">
        <is>
          <t>SKÅNE LÄN</t>
        </is>
      </c>
      <c r="E134" t="inlineStr">
        <is>
          <t>HÖRBY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28501-2023</t>
        </is>
      </c>
      <c r="B135" s="1" t="n">
        <v>45103</v>
      </c>
      <c r="C135" s="1" t="n">
        <v>45840</v>
      </c>
      <c r="D135" t="inlineStr">
        <is>
          <t>SKÅNE LÄN</t>
        </is>
      </c>
      <c r="E135" t="inlineStr">
        <is>
          <t>HÖRBY</t>
        </is>
      </c>
      <c r="G135" t="n">
        <v>3.6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28520-2023</t>
        </is>
      </c>
      <c r="B136" s="1" t="n">
        <v>45103</v>
      </c>
      <c r="C136" s="1" t="n">
        <v>45840</v>
      </c>
      <c r="D136" t="inlineStr">
        <is>
          <t>SKÅNE LÄN</t>
        </is>
      </c>
      <c r="E136" t="inlineStr">
        <is>
          <t>HÖRBY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28625-2023</t>
        </is>
      </c>
      <c r="B137" s="1" t="n">
        <v>45103</v>
      </c>
      <c r="C137" s="1" t="n">
        <v>45840</v>
      </c>
      <c r="D137" t="inlineStr">
        <is>
          <t>SKÅNE LÄN</t>
        </is>
      </c>
      <c r="E137" t="inlineStr">
        <is>
          <t>HÖRBY</t>
        </is>
      </c>
      <c r="G137" t="n">
        <v>4.8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28918-2023</t>
        </is>
      </c>
      <c r="B138" s="1" t="n">
        <v>45104</v>
      </c>
      <c r="C138" s="1" t="n">
        <v>45840</v>
      </c>
      <c r="D138" t="inlineStr">
        <is>
          <t>SKÅNE LÄN</t>
        </is>
      </c>
      <c r="E138" t="inlineStr">
        <is>
          <t>HÖRBY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28785-2023</t>
        </is>
      </c>
      <c r="B139" s="1" t="n">
        <v>45104</v>
      </c>
      <c r="C139" s="1" t="n">
        <v>45840</v>
      </c>
      <c r="D139" t="inlineStr">
        <is>
          <t>SKÅNE LÄN</t>
        </is>
      </c>
      <c r="E139" t="inlineStr">
        <is>
          <t>HÖRBY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29096-2023</t>
        </is>
      </c>
      <c r="B140" s="1" t="n">
        <v>45105</v>
      </c>
      <c r="C140" s="1" t="n">
        <v>45840</v>
      </c>
      <c r="D140" t="inlineStr">
        <is>
          <t>SKÅNE LÄN</t>
        </is>
      </c>
      <c r="E140" t="inlineStr">
        <is>
          <t>HÖRBY</t>
        </is>
      </c>
      <c r="G140" t="n">
        <v>3.6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29105-2023</t>
        </is>
      </c>
      <c r="B141" s="1" t="n">
        <v>45105</v>
      </c>
      <c r="C141" s="1" t="n">
        <v>45840</v>
      </c>
      <c r="D141" t="inlineStr">
        <is>
          <t>SKÅNE LÄN</t>
        </is>
      </c>
      <c r="E141" t="inlineStr">
        <is>
          <t>HÖRBY</t>
        </is>
      </c>
      <c r="G141" t="n">
        <v>7.5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29219-2023</t>
        </is>
      </c>
      <c r="B142" s="1" t="n">
        <v>45105</v>
      </c>
      <c r="C142" s="1" t="n">
        <v>45840</v>
      </c>
      <c r="D142" t="inlineStr">
        <is>
          <t>SKÅNE LÄN</t>
        </is>
      </c>
      <c r="E142" t="inlineStr">
        <is>
          <t>HÖRBY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29117-2023</t>
        </is>
      </c>
      <c r="B143" s="1" t="n">
        <v>45105</v>
      </c>
      <c r="C143" s="1" t="n">
        <v>45840</v>
      </c>
      <c r="D143" t="inlineStr">
        <is>
          <t>SKÅNE LÄN</t>
        </is>
      </c>
      <c r="E143" t="inlineStr">
        <is>
          <t>HÖRBY</t>
        </is>
      </c>
      <c r="G143" t="n">
        <v>3.4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29102-2023</t>
        </is>
      </c>
      <c r="B144" s="1" t="n">
        <v>45105</v>
      </c>
      <c r="C144" s="1" t="n">
        <v>45840</v>
      </c>
      <c r="D144" t="inlineStr">
        <is>
          <t>SKÅNE LÄN</t>
        </is>
      </c>
      <c r="E144" t="inlineStr">
        <is>
          <t>HÖRBY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31459-2023</t>
        </is>
      </c>
      <c r="B145" s="1" t="n">
        <v>45114</v>
      </c>
      <c r="C145" s="1" t="n">
        <v>45840</v>
      </c>
      <c r="D145" t="inlineStr">
        <is>
          <t>SKÅNE LÄN</t>
        </is>
      </c>
      <c r="E145" t="inlineStr">
        <is>
          <t>HÖRBY</t>
        </is>
      </c>
      <c r="G145" t="n">
        <v>3.8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31598-2023</t>
        </is>
      </c>
      <c r="B146" s="1" t="n">
        <v>45117</v>
      </c>
      <c r="C146" s="1" t="n">
        <v>45840</v>
      </c>
      <c r="D146" t="inlineStr">
        <is>
          <t>SKÅNE LÄN</t>
        </is>
      </c>
      <c r="E146" t="inlineStr">
        <is>
          <t>HÖRBY</t>
        </is>
      </c>
      <c r="G146" t="n">
        <v>8.5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31596-2023</t>
        </is>
      </c>
      <c r="B147" s="1" t="n">
        <v>45117</v>
      </c>
      <c r="C147" s="1" t="n">
        <v>45840</v>
      </c>
      <c r="D147" t="inlineStr">
        <is>
          <t>SKÅNE LÄN</t>
        </is>
      </c>
      <c r="E147" t="inlineStr">
        <is>
          <t>HÖRBY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31588-2023</t>
        </is>
      </c>
      <c r="B148" s="1" t="n">
        <v>45117</v>
      </c>
      <c r="C148" s="1" t="n">
        <v>45840</v>
      </c>
      <c r="D148" t="inlineStr">
        <is>
          <t>SKÅNE LÄN</t>
        </is>
      </c>
      <c r="E148" t="inlineStr">
        <is>
          <t>HÖRBY</t>
        </is>
      </c>
      <c r="G148" t="n">
        <v>3.7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31593-2023</t>
        </is>
      </c>
      <c r="B149" s="1" t="n">
        <v>45117</v>
      </c>
      <c r="C149" s="1" t="n">
        <v>45840</v>
      </c>
      <c r="D149" t="inlineStr">
        <is>
          <t>SKÅNE LÄN</t>
        </is>
      </c>
      <c r="E149" t="inlineStr">
        <is>
          <t>HÖRBY</t>
        </is>
      </c>
      <c r="G149" t="n">
        <v>3.7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32126-2023</t>
        </is>
      </c>
      <c r="B150" s="1" t="n">
        <v>45119</v>
      </c>
      <c r="C150" s="1" t="n">
        <v>45840</v>
      </c>
      <c r="D150" t="inlineStr">
        <is>
          <t>SKÅNE LÄN</t>
        </is>
      </c>
      <c r="E150" t="inlineStr">
        <is>
          <t>HÖRBY</t>
        </is>
      </c>
      <c r="F150" t="inlineStr">
        <is>
          <t>Sveaskog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32127-2023</t>
        </is>
      </c>
      <c r="B151" s="1" t="n">
        <v>45119</v>
      </c>
      <c r="C151" s="1" t="n">
        <v>45840</v>
      </c>
      <c r="D151" t="inlineStr">
        <is>
          <t>SKÅNE LÄN</t>
        </is>
      </c>
      <c r="E151" t="inlineStr">
        <is>
          <t>HÖRBY</t>
        </is>
      </c>
      <c r="F151" t="inlineStr">
        <is>
          <t>Sveaskog</t>
        </is>
      </c>
      <c r="G151" t="n">
        <v>5.4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31989-2023</t>
        </is>
      </c>
      <c r="B152" s="1" t="n">
        <v>45119</v>
      </c>
      <c r="C152" s="1" t="n">
        <v>45840</v>
      </c>
      <c r="D152" t="inlineStr">
        <is>
          <t>SKÅNE LÄN</t>
        </is>
      </c>
      <c r="E152" t="inlineStr">
        <is>
          <t>HÖRBY</t>
        </is>
      </c>
      <c r="G152" t="n">
        <v>4.1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32132-2023</t>
        </is>
      </c>
      <c r="B153" s="1" t="n">
        <v>45119</v>
      </c>
      <c r="C153" s="1" t="n">
        <v>45840</v>
      </c>
      <c r="D153" t="inlineStr">
        <is>
          <t>SKÅNE LÄN</t>
        </is>
      </c>
      <c r="E153" t="inlineStr">
        <is>
          <t>HÖRBY</t>
        </is>
      </c>
      <c r="F153" t="inlineStr">
        <is>
          <t>Sveaskog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32145-2023</t>
        </is>
      </c>
      <c r="B154" s="1" t="n">
        <v>45119</v>
      </c>
      <c r="C154" s="1" t="n">
        <v>45840</v>
      </c>
      <c r="D154" t="inlineStr">
        <is>
          <t>SKÅNE LÄN</t>
        </is>
      </c>
      <c r="E154" t="inlineStr">
        <is>
          <t>HÖRBY</t>
        </is>
      </c>
      <c r="F154" t="inlineStr">
        <is>
          <t>Sveaskog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32671-2023</t>
        </is>
      </c>
      <c r="B155" s="1" t="n">
        <v>45121</v>
      </c>
      <c r="C155" s="1" t="n">
        <v>45840</v>
      </c>
      <c r="D155" t="inlineStr">
        <is>
          <t>SKÅNE LÄN</t>
        </is>
      </c>
      <c r="E155" t="inlineStr">
        <is>
          <t>HÖRBY</t>
        </is>
      </c>
      <c r="F155" t="inlineStr">
        <is>
          <t>Sveaskog</t>
        </is>
      </c>
      <c r="G155" t="n">
        <v>8.5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33358-2023</t>
        </is>
      </c>
      <c r="B156" s="1" t="n">
        <v>45128</v>
      </c>
      <c r="C156" s="1" t="n">
        <v>45840</v>
      </c>
      <c r="D156" t="inlineStr">
        <is>
          <t>SKÅNE LÄN</t>
        </is>
      </c>
      <c r="E156" t="inlineStr">
        <is>
          <t>HÖRBY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33359-2023</t>
        </is>
      </c>
      <c r="B157" s="1" t="n">
        <v>45128</v>
      </c>
      <c r="C157" s="1" t="n">
        <v>45840</v>
      </c>
      <c r="D157" t="inlineStr">
        <is>
          <t>SKÅNE LÄN</t>
        </is>
      </c>
      <c r="E157" t="inlineStr">
        <is>
          <t>HÖRBY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37082-2023</t>
        </is>
      </c>
      <c r="B158" s="1" t="n">
        <v>45155</v>
      </c>
      <c r="C158" s="1" t="n">
        <v>45840</v>
      </c>
      <c r="D158" t="inlineStr">
        <is>
          <t>SKÅNE LÄN</t>
        </is>
      </c>
      <c r="E158" t="inlineStr">
        <is>
          <t>HÖRBY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37086-2023</t>
        </is>
      </c>
      <c r="B159" s="1" t="n">
        <v>45155</v>
      </c>
      <c r="C159" s="1" t="n">
        <v>45840</v>
      </c>
      <c r="D159" t="inlineStr">
        <is>
          <t>SKÅNE LÄN</t>
        </is>
      </c>
      <c r="E159" t="inlineStr">
        <is>
          <t>HÖRBY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37079-2023</t>
        </is>
      </c>
      <c r="B160" s="1" t="n">
        <v>45155</v>
      </c>
      <c r="C160" s="1" t="n">
        <v>45840</v>
      </c>
      <c r="D160" t="inlineStr">
        <is>
          <t>SKÅNE LÄN</t>
        </is>
      </c>
      <c r="E160" t="inlineStr">
        <is>
          <t>HÖRBY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39298-2023</t>
        </is>
      </c>
      <c r="B161" s="1" t="n">
        <v>45166</v>
      </c>
      <c r="C161" s="1" t="n">
        <v>45840</v>
      </c>
      <c r="D161" t="inlineStr">
        <is>
          <t>SKÅNE LÄN</t>
        </is>
      </c>
      <c r="E161" t="inlineStr">
        <is>
          <t>HÖRBY</t>
        </is>
      </c>
      <c r="G161" t="n">
        <v>4.6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41271-2023</t>
        </is>
      </c>
      <c r="B162" s="1" t="n">
        <v>45174</v>
      </c>
      <c r="C162" s="1" t="n">
        <v>45840</v>
      </c>
      <c r="D162" t="inlineStr">
        <is>
          <t>SKÅNE LÄN</t>
        </is>
      </c>
      <c r="E162" t="inlineStr">
        <is>
          <t>HÖRBY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42715-2023</t>
        </is>
      </c>
      <c r="B163" s="1" t="n">
        <v>45176</v>
      </c>
      <c r="C163" s="1" t="n">
        <v>45840</v>
      </c>
      <c r="D163" t="inlineStr">
        <is>
          <t>SKÅNE LÄN</t>
        </is>
      </c>
      <c r="E163" t="inlineStr">
        <is>
          <t>HÖRBY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42704-2023</t>
        </is>
      </c>
      <c r="B164" s="1" t="n">
        <v>45176</v>
      </c>
      <c r="C164" s="1" t="n">
        <v>45840</v>
      </c>
      <c r="D164" t="inlineStr">
        <is>
          <t>SKÅNE LÄN</t>
        </is>
      </c>
      <c r="E164" t="inlineStr">
        <is>
          <t>HÖRBY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42724-2023</t>
        </is>
      </c>
      <c r="B165" s="1" t="n">
        <v>45176</v>
      </c>
      <c r="C165" s="1" t="n">
        <v>45840</v>
      </c>
      <c r="D165" t="inlineStr">
        <is>
          <t>SKÅNE LÄN</t>
        </is>
      </c>
      <c r="E165" t="inlineStr">
        <is>
          <t>HÖRBY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44251-2023</t>
        </is>
      </c>
      <c r="B166" s="1" t="n">
        <v>45183</v>
      </c>
      <c r="C166" s="1" t="n">
        <v>45840</v>
      </c>
      <c r="D166" t="inlineStr">
        <is>
          <t>SKÅNE LÄN</t>
        </is>
      </c>
      <c r="E166" t="inlineStr">
        <is>
          <t>HÖRBY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43882-2023</t>
        </is>
      </c>
      <c r="B167" s="1" t="n">
        <v>45187</v>
      </c>
      <c r="C167" s="1" t="n">
        <v>45840</v>
      </c>
      <c r="D167" t="inlineStr">
        <is>
          <t>SKÅNE LÄN</t>
        </is>
      </c>
      <c r="E167" t="inlineStr">
        <is>
          <t>HÖRBY</t>
        </is>
      </c>
      <c r="F167" t="inlineStr">
        <is>
          <t>Sveaskog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43932-2023</t>
        </is>
      </c>
      <c r="B168" s="1" t="n">
        <v>45187</v>
      </c>
      <c r="C168" s="1" t="n">
        <v>45840</v>
      </c>
      <c r="D168" t="inlineStr">
        <is>
          <t>SKÅNE LÄN</t>
        </is>
      </c>
      <c r="E168" t="inlineStr">
        <is>
          <t>HÖRBY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43935-2023</t>
        </is>
      </c>
      <c r="B169" s="1" t="n">
        <v>45187</v>
      </c>
      <c r="C169" s="1" t="n">
        <v>45840</v>
      </c>
      <c r="D169" t="inlineStr">
        <is>
          <t>SKÅNE LÄN</t>
        </is>
      </c>
      <c r="E169" t="inlineStr">
        <is>
          <t>HÖRBY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43939-2023</t>
        </is>
      </c>
      <c r="B170" s="1" t="n">
        <v>45187</v>
      </c>
      <c r="C170" s="1" t="n">
        <v>45840</v>
      </c>
      <c r="D170" t="inlineStr">
        <is>
          <t>SKÅNE LÄN</t>
        </is>
      </c>
      <c r="E170" t="inlineStr">
        <is>
          <t>HÖRBY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43879-2023</t>
        </is>
      </c>
      <c r="B171" s="1" t="n">
        <v>45187</v>
      </c>
      <c r="C171" s="1" t="n">
        <v>45840</v>
      </c>
      <c r="D171" t="inlineStr">
        <is>
          <t>SKÅNE LÄN</t>
        </is>
      </c>
      <c r="E171" t="inlineStr">
        <is>
          <t>HÖRBY</t>
        </is>
      </c>
      <c r="F171" t="inlineStr">
        <is>
          <t>Sveaskog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43937-2023</t>
        </is>
      </c>
      <c r="B172" s="1" t="n">
        <v>45187</v>
      </c>
      <c r="C172" s="1" t="n">
        <v>45840</v>
      </c>
      <c r="D172" t="inlineStr">
        <is>
          <t>SKÅNE LÄN</t>
        </is>
      </c>
      <c r="E172" t="inlineStr">
        <is>
          <t>HÖRBY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44613-2023</t>
        </is>
      </c>
      <c r="B173" s="1" t="n">
        <v>45189</v>
      </c>
      <c r="C173" s="1" t="n">
        <v>45840</v>
      </c>
      <c r="D173" t="inlineStr">
        <is>
          <t>SKÅNE LÄN</t>
        </is>
      </c>
      <c r="E173" t="inlineStr">
        <is>
          <t>HÖRBY</t>
        </is>
      </c>
      <c r="F173" t="inlineStr">
        <is>
          <t>Sveaskog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44816-2023</t>
        </is>
      </c>
      <c r="B174" s="1" t="n">
        <v>45190</v>
      </c>
      <c r="C174" s="1" t="n">
        <v>45840</v>
      </c>
      <c r="D174" t="inlineStr">
        <is>
          <t>SKÅNE LÄN</t>
        </is>
      </c>
      <c r="E174" t="inlineStr">
        <is>
          <t>HÖRBY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45538-2023</t>
        </is>
      </c>
      <c r="B175" s="1" t="n">
        <v>45194</v>
      </c>
      <c r="C175" s="1" t="n">
        <v>45840</v>
      </c>
      <c r="D175" t="inlineStr">
        <is>
          <t>SKÅNE LÄN</t>
        </is>
      </c>
      <c r="E175" t="inlineStr">
        <is>
          <t>HÖRBY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47637-2023</t>
        </is>
      </c>
      <c r="B176" s="1" t="n">
        <v>45203</v>
      </c>
      <c r="C176" s="1" t="n">
        <v>45840</v>
      </c>
      <c r="D176" t="inlineStr">
        <is>
          <t>SKÅNE LÄN</t>
        </is>
      </c>
      <c r="E176" t="inlineStr">
        <is>
          <t>HÖRBY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47641-2023</t>
        </is>
      </c>
      <c r="B177" s="1" t="n">
        <v>45203</v>
      </c>
      <c r="C177" s="1" t="n">
        <v>45840</v>
      </c>
      <c r="D177" t="inlineStr">
        <is>
          <t>SKÅNE LÄN</t>
        </is>
      </c>
      <c r="E177" t="inlineStr">
        <is>
          <t>HÖRBY</t>
        </is>
      </c>
      <c r="G177" t="n">
        <v>4.8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47552-2023</t>
        </is>
      </c>
      <c r="B178" s="1" t="n">
        <v>45203</v>
      </c>
      <c r="C178" s="1" t="n">
        <v>45840</v>
      </c>
      <c r="D178" t="inlineStr">
        <is>
          <t>SKÅNE LÄN</t>
        </is>
      </c>
      <c r="E178" t="inlineStr">
        <is>
          <t>HÖRBY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47609-2023</t>
        </is>
      </c>
      <c r="B179" s="1" t="n">
        <v>45203</v>
      </c>
      <c r="C179" s="1" t="n">
        <v>45840</v>
      </c>
      <c r="D179" t="inlineStr">
        <is>
          <t>SKÅNE LÄN</t>
        </is>
      </c>
      <c r="E179" t="inlineStr">
        <is>
          <t>HÖRBY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47612-2023</t>
        </is>
      </c>
      <c r="B180" s="1" t="n">
        <v>45203</v>
      </c>
      <c r="C180" s="1" t="n">
        <v>45840</v>
      </c>
      <c r="D180" t="inlineStr">
        <is>
          <t>SKÅNE LÄN</t>
        </is>
      </c>
      <c r="E180" t="inlineStr">
        <is>
          <t>HÖRBY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47558-2023</t>
        </is>
      </c>
      <c r="B181" s="1" t="n">
        <v>45203</v>
      </c>
      <c r="C181" s="1" t="n">
        <v>45840</v>
      </c>
      <c r="D181" t="inlineStr">
        <is>
          <t>SKÅNE LÄN</t>
        </is>
      </c>
      <c r="E181" t="inlineStr">
        <is>
          <t>HÖRBY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47647-2023</t>
        </is>
      </c>
      <c r="B182" s="1" t="n">
        <v>45203</v>
      </c>
      <c r="C182" s="1" t="n">
        <v>45840</v>
      </c>
      <c r="D182" t="inlineStr">
        <is>
          <t>SKÅNE LÄN</t>
        </is>
      </c>
      <c r="E182" t="inlineStr">
        <is>
          <t>HÖRBY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48133-2023</t>
        </is>
      </c>
      <c r="B183" s="1" t="n">
        <v>45205</v>
      </c>
      <c r="C183" s="1" t="n">
        <v>45840</v>
      </c>
      <c r="D183" t="inlineStr">
        <is>
          <t>SKÅNE LÄN</t>
        </is>
      </c>
      <c r="E183" t="inlineStr">
        <is>
          <t>HÖRBY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49726-2023</t>
        </is>
      </c>
      <c r="B184" s="1" t="n">
        <v>45208</v>
      </c>
      <c r="C184" s="1" t="n">
        <v>45840</v>
      </c>
      <c r="D184" t="inlineStr">
        <is>
          <t>SKÅNE LÄN</t>
        </is>
      </c>
      <c r="E184" t="inlineStr">
        <is>
          <t>HÖRBY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49363-2023</t>
        </is>
      </c>
      <c r="B185" s="1" t="n">
        <v>45211</v>
      </c>
      <c r="C185" s="1" t="n">
        <v>45840</v>
      </c>
      <c r="D185" t="inlineStr">
        <is>
          <t>SKÅNE LÄN</t>
        </is>
      </c>
      <c r="E185" t="inlineStr">
        <is>
          <t>HÖRBY</t>
        </is>
      </c>
      <c r="G185" t="n">
        <v>4.4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50300-2023</t>
        </is>
      </c>
      <c r="B186" s="1" t="n">
        <v>45216</v>
      </c>
      <c r="C186" s="1" t="n">
        <v>45840</v>
      </c>
      <c r="D186" t="inlineStr">
        <is>
          <t>SKÅNE LÄN</t>
        </is>
      </c>
      <c r="E186" t="inlineStr">
        <is>
          <t>HÖRBY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50704-2023</t>
        </is>
      </c>
      <c r="B187" s="1" t="n">
        <v>45217</v>
      </c>
      <c r="C187" s="1" t="n">
        <v>45840</v>
      </c>
      <c r="D187" t="inlineStr">
        <is>
          <t>SKÅNE LÄN</t>
        </is>
      </c>
      <c r="E187" t="inlineStr">
        <is>
          <t>HÖRBY</t>
        </is>
      </c>
      <c r="F187" t="inlineStr">
        <is>
          <t>Sveaskog</t>
        </is>
      </c>
      <c r="G187" t="n">
        <v>7.5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52196-2023</t>
        </is>
      </c>
      <c r="B188" s="1" t="n">
        <v>45217</v>
      </c>
      <c r="C188" s="1" t="n">
        <v>45840</v>
      </c>
      <c r="D188" t="inlineStr">
        <is>
          <t>SKÅNE LÄN</t>
        </is>
      </c>
      <c r="E188" t="inlineStr">
        <is>
          <t>HÖRBY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52064-2023</t>
        </is>
      </c>
      <c r="B189" s="1" t="n">
        <v>45223</v>
      </c>
      <c r="C189" s="1" t="n">
        <v>45840</v>
      </c>
      <c r="D189" t="inlineStr">
        <is>
          <t>SKÅNE LÄN</t>
        </is>
      </c>
      <c r="E189" t="inlineStr">
        <is>
          <t>HÖRBY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52310-2023</t>
        </is>
      </c>
      <c r="B190" s="1" t="n">
        <v>45224</v>
      </c>
      <c r="C190" s="1" t="n">
        <v>45840</v>
      </c>
      <c r="D190" t="inlineStr">
        <is>
          <t>SKÅNE LÄN</t>
        </is>
      </c>
      <c r="E190" t="inlineStr">
        <is>
          <t>HÖRBY</t>
        </is>
      </c>
      <c r="G190" t="n">
        <v>3.5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54431-2023</t>
        </is>
      </c>
      <c r="B191" s="1" t="n">
        <v>45226</v>
      </c>
      <c r="C191" s="1" t="n">
        <v>45840</v>
      </c>
      <c r="D191" t="inlineStr">
        <is>
          <t>SKÅNE LÄN</t>
        </is>
      </c>
      <c r="E191" t="inlineStr">
        <is>
          <t>HÖRBY</t>
        </is>
      </c>
      <c r="G191" t="n">
        <v>3.2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54894-2023</t>
        </is>
      </c>
      <c r="B192" s="1" t="n">
        <v>45236</v>
      </c>
      <c r="C192" s="1" t="n">
        <v>45840</v>
      </c>
      <c r="D192" t="inlineStr">
        <is>
          <t>SKÅNE LÄN</t>
        </is>
      </c>
      <c r="E192" t="inlineStr">
        <is>
          <t>HÖRBY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55265-2023</t>
        </is>
      </c>
      <c r="B193" s="1" t="n">
        <v>45237</v>
      </c>
      <c r="C193" s="1" t="n">
        <v>45840</v>
      </c>
      <c r="D193" t="inlineStr">
        <is>
          <t>SKÅNE LÄN</t>
        </is>
      </c>
      <c r="E193" t="inlineStr">
        <is>
          <t>HÖRBY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56750-2023</t>
        </is>
      </c>
      <c r="B194" s="1" t="n">
        <v>45238</v>
      </c>
      <c r="C194" s="1" t="n">
        <v>45840</v>
      </c>
      <c r="D194" t="inlineStr">
        <is>
          <t>SKÅNE LÄN</t>
        </is>
      </c>
      <c r="E194" t="inlineStr">
        <is>
          <t>HÖRBY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58360-2023</t>
        </is>
      </c>
      <c r="B195" s="1" t="n">
        <v>45250</v>
      </c>
      <c r="C195" s="1" t="n">
        <v>45840</v>
      </c>
      <c r="D195" t="inlineStr">
        <is>
          <t>SKÅNE LÄN</t>
        </is>
      </c>
      <c r="E195" t="inlineStr">
        <is>
          <t>HÖRBY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58641-2023</t>
        </is>
      </c>
      <c r="B196" s="1" t="n">
        <v>45251</v>
      </c>
      <c r="C196" s="1" t="n">
        <v>45840</v>
      </c>
      <c r="D196" t="inlineStr">
        <is>
          <t>SKÅNE LÄN</t>
        </is>
      </c>
      <c r="E196" t="inlineStr">
        <is>
          <t>HÖRBY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59308-2023</t>
        </is>
      </c>
      <c r="B197" s="1" t="n">
        <v>45253</v>
      </c>
      <c r="C197" s="1" t="n">
        <v>45840</v>
      </c>
      <c r="D197" t="inlineStr">
        <is>
          <t>SKÅNE LÄN</t>
        </is>
      </c>
      <c r="E197" t="inlineStr">
        <is>
          <t>HÖRBY</t>
        </is>
      </c>
      <c r="F197" t="inlineStr">
        <is>
          <t>Sveaskog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59305-2023</t>
        </is>
      </c>
      <c r="B198" s="1" t="n">
        <v>45253</v>
      </c>
      <c r="C198" s="1" t="n">
        <v>45840</v>
      </c>
      <c r="D198" t="inlineStr">
        <is>
          <t>SKÅNE LÄN</t>
        </is>
      </c>
      <c r="E198" t="inlineStr">
        <is>
          <t>HÖRBY</t>
        </is>
      </c>
      <c r="F198" t="inlineStr">
        <is>
          <t>Sveaskog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59445-2023</t>
        </is>
      </c>
      <c r="B199" s="1" t="n">
        <v>45254</v>
      </c>
      <c r="C199" s="1" t="n">
        <v>45840</v>
      </c>
      <c r="D199" t="inlineStr">
        <is>
          <t>SKÅNE LÄN</t>
        </is>
      </c>
      <c r="E199" t="inlineStr">
        <is>
          <t>HÖRBY</t>
        </is>
      </c>
      <c r="G199" t="n">
        <v>3.8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59448-2023</t>
        </is>
      </c>
      <c r="B200" s="1" t="n">
        <v>45254</v>
      </c>
      <c r="C200" s="1" t="n">
        <v>45840</v>
      </c>
      <c r="D200" t="inlineStr">
        <is>
          <t>SKÅNE LÄN</t>
        </is>
      </c>
      <c r="E200" t="inlineStr">
        <is>
          <t>HÖRBY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60585-2023</t>
        </is>
      </c>
      <c r="B201" s="1" t="n">
        <v>45259</v>
      </c>
      <c r="C201" s="1" t="n">
        <v>45840</v>
      </c>
      <c r="D201" t="inlineStr">
        <is>
          <t>SKÅNE LÄN</t>
        </is>
      </c>
      <c r="E201" t="inlineStr">
        <is>
          <t>HÖRBY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60913-2023</t>
        </is>
      </c>
      <c r="B202" s="1" t="n">
        <v>45261</v>
      </c>
      <c r="C202" s="1" t="n">
        <v>45840</v>
      </c>
      <c r="D202" t="inlineStr">
        <is>
          <t>SKÅNE LÄN</t>
        </is>
      </c>
      <c r="E202" t="inlineStr">
        <is>
          <t>HÖRBY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60963-2023</t>
        </is>
      </c>
      <c r="B203" s="1" t="n">
        <v>45261</v>
      </c>
      <c r="C203" s="1" t="n">
        <v>45840</v>
      </c>
      <c r="D203" t="inlineStr">
        <is>
          <t>SKÅNE LÄN</t>
        </is>
      </c>
      <c r="E203" t="inlineStr">
        <is>
          <t>HÖRBY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61591-2023</t>
        </is>
      </c>
      <c r="B204" s="1" t="n">
        <v>45265</v>
      </c>
      <c r="C204" s="1" t="n">
        <v>45840</v>
      </c>
      <c r="D204" t="inlineStr">
        <is>
          <t>SKÅNE LÄN</t>
        </is>
      </c>
      <c r="E204" t="inlineStr">
        <is>
          <t>HÖRBY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61595-2023</t>
        </is>
      </c>
      <c r="B205" s="1" t="n">
        <v>45265</v>
      </c>
      <c r="C205" s="1" t="n">
        <v>45840</v>
      </c>
      <c r="D205" t="inlineStr">
        <is>
          <t>SKÅNE LÄN</t>
        </is>
      </c>
      <c r="E205" t="inlineStr">
        <is>
          <t>HÖRBY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64219-2023</t>
        </is>
      </c>
      <c r="B206" s="1" t="n">
        <v>45279</v>
      </c>
      <c r="C206" s="1" t="n">
        <v>45840</v>
      </c>
      <c r="D206" t="inlineStr">
        <is>
          <t>SKÅNE LÄN</t>
        </is>
      </c>
      <c r="E206" t="inlineStr">
        <is>
          <t>HÖRBY</t>
        </is>
      </c>
      <c r="G206" t="n">
        <v>5.2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65073-2023</t>
        </is>
      </c>
      <c r="B207" s="1" t="n">
        <v>45287</v>
      </c>
      <c r="C207" s="1" t="n">
        <v>45840</v>
      </c>
      <c r="D207" t="inlineStr">
        <is>
          <t>SKÅNE LÄN</t>
        </is>
      </c>
      <c r="E207" t="inlineStr">
        <is>
          <t>HÖRBY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65142-2023</t>
        </is>
      </c>
      <c r="B208" s="1" t="n">
        <v>45288</v>
      </c>
      <c r="C208" s="1" t="n">
        <v>45840</v>
      </c>
      <c r="D208" t="inlineStr">
        <is>
          <t>SKÅNE LÄN</t>
        </is>
      </c>
      <c r="E208" t="inlineStr">
        <is>
          <t>HÖRBY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666-2024</t>
        </is>
      </c>
      <c r="B209" s="1" t="n">
        <v>45300</v>
      </c>
      <c r="C209" s="1" t="n">
        <v>45840</v>
      </c>
      <c r="D209" t="inlineStr">
        <is>
          <t>SKÅNE LÄN</t>
        </is>
      </c>
      <c r="E209" t="inlineStr">
        <is>
          <t>HÖRBY</t>
        </is>
      </c>
      <c r="F209" t="inlineStr">
        <is>
          <t>Sveaskog</t>
        </is>
      </c>
      <c r="G209" t="n">
        <v>5.8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799-2024</t>
        </is>
      </c>
      <c r="B210" s="1" t="n">
        <v>45300</v>
      </c>
      <c r="C210" s="1" t="n">
        <v>45840</v>
      </c>
      <c r="D210" t="inlineStr">
        <is>
          <t>SKÅNE LÄN</t>
        </is>
      </c>
      <c r="E210" t="inlineStr">
        <is>
          <t>HÖRBY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788-2024</t>
        </is>
      </c>
      <c r="B211" s="1" t="n">
        <v>45300</v>
      </c>
      <c r="C211" s="1" t="n">
        <v>45840</v>
      </c>
      <c r="D211" t="inlineStr">
        <is>
          <t>SKÅNE LÄN</t>
        </is>
      </c>
      <c r="E211" t="inlineStr">
        <is>
          <t>HÖRBY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806-2024</t>
        </is>
      </c>
      <c r="B212" s="1" t="n">
        <v>45300</v>
      </c>
      <c r="C212" s="1" t="n">
        <v>45840</v>
      </c>
      <c r="D212" t="inlineStr">
        <is>
          <t>SKÅNE LÄN</t>
        </is>
      </c>
      <c r="E212" t="inlineStr">
        <is>
          <t>HÖRBY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1407-2024</t>
        </is>
      </c>
      <c r="B213" s="1" t="n">
        <v>45303</v>
      </c>
      <c r="C213" s="1" t="n">
        <v>45840</v>
      </c>
      <c r="D213" t="inlineStr">
        <is>
          <t>SKÅNE LÄN</t>
        </is>
      </c>
      <c r="E213" t="inlineStr">
        <is>
          <t>HÖRBY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2981-2024</t>
        </is>
      </c>
      <c r="B214" s="1" t="n">
        <v>45315</v>
      </c>
      <c r="C214" s="1" t="n">
        <v>45840</v>
      </c>
      <c r="D214" t="inlineStr">
        <is>
          <t>SKÅNE LÄN</t>
        </is>
      </c>
      <c r="E214" t="inlineStr">
        <is>
          <t>HÖRBY</t>
        </is>
      </c>
      <c r="F214" t="inlineStr">
        <is>
          <t>Kyrkan</t>
        </is>
      </c>
      <c r="G214" t="n">
        <v>6.4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2979-2024</t>
        </is>
      </c>
      <c r="B215" s="1" t="n">
        <v>45315</v>
      </c>
      <c r="C215" s="1" t="n">
        <v>45840</v>
      </c>
      <c r="D215" t="inlineStr">
        <is>
          <t>SKÅNE LÄN</t>
        </is>
      </c>
      <c r="E215" t="inlineStr">
        <is>
          <t>HÖRBY</t>
        </is>
      </c>
      <c r="F215" t="inlineStr">
        <is>
          <t>Kyrkan</t>
        </is>
      </c>
      <c r="G215" t="n">
        <v>4.7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2980-2024</t>
        </is>
      </c>
      <c r="B216" s="1" t="n">
        <v>45315</v>
      </c>
      <c r="C216" s="1" t="n">
        <v>45840</v>
      </c>
      <c r="D216" t="inlineStr">
        <is>
          <t>SKÅNE LÄN</t>
        </is>
      </c>
      <c r="E216" t="inlineStr">
        <is>
          <t>HÖRBY</t>
        </is>
      </c>
      <c r="F216" t="inlineStr">
        <is>
          <t>Kyrkan</t>
        </is>
      </c>
      <c r="G216" t="n">
        <v>8.6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3040-2024</t>
        </is>
      </c>
      <c r="B217" s="1" t="n">
        <v>45316</v>
      </c>
      <c r="C217" s="1" t="n">
        <v>45840</v>
      </c>
      <c r="D217" t="inlineStr">
        <is>
          <t>SKÅNE LÄN</t>
        </is>
      </c>
      <c r="E217" t="inlineStr">
        <is>
          <t>HÖRBY</t>
        </is>
      </c>
      <c r="G217" t="n">
        <v>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3346-2024</t>
        </is>
      </c>
      <c r="B218" s="1" t="n">
        <v>45317</v>
      </c>
      <c r="C218" s="1" t="n">
        <v>45840</v>
      </c>
      <c r="D218" t="inlineStr">
        <is>
          <t>SKÅNE LÄN</t>
        </is>
      </c>
      <c r="E218" t="inlineStr">
        <is>
          <t>HÖRBY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3340-2024</t>
        </is>
      </c>
      <c r="B219" s="1" t="n">
        <v>45317</v>
      </c>
      <c r="C219" s="1" t="n">
        <v>45840</v>
      </c>
      <c r="D219" t="inlineStr">
        <is>
          <t>SKÅNE LÄN</t>
        </is>
      </c>
      <c r="E219" t="inlineStr">
        <is>
          <t>HÖRBY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3344-2024</t>
        </is>
      </c>
      <c r="B220" s="1" t="n">
        <v>45317</v>
      </c>
      <c r="C220" s="1" t="n">
        <v>45840</v>
      </c>
      <c r="D220" t="inlineStr">
        <is>
          <t>SKÅNE LÄN</t>
        </is>
      </c>
      <c r="E220" t="inlineStr">
        <is>
          <t>HÖRBY</t>
        </is>
      </c>
      <c r="G220" t="n">
        <v>3.5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4631-2024</t>
        </is>
      </c>
      <c r="B221" s="1" t="n">
        <v>45328</v>
      </c>
      <c r="C221" s="1" t="n">
        <v>45840</v>
      </c>
      <c r="D221" t="inlineStr">
        <is>
          <t>SKÅNE LÄN</t>
        </is>
      </c>
      <c r="E221" t="inlineStr">
        <is>
          <t>HÖRBY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4718-2024</t>
        </is>
      </c>
      <c r="B222" s="1" t="n">
        <v>45328</v>
      </c>
      <c r="C222" s="1" t="n">
        <v>45840</v>
      </c>
      <c r="D222" t="inlineStr">
        <is>
          <t>SKÅNE LÄN</t>
        </is>
      </c>
      <c r="E222" t="inlineStr">
        <is>
          <t>HÖRBY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4970-2024</t>
        </is>
      </c>
      <c r="B223" s="1" t="n">
        <v>45329</v>
      </c>
      <c r="C223" s="1" t="n">
        <v>45840</v>
      </c>
      <c r="D223" t="inlineStr">
        <is>
          <t>SKÅNE LÄN</t>
        </is>
      </c>
      <c r="E223" t="inlineStr">
        <is>
          <t>HÖRBY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4969-2024</t>
        </is>
      </c>
      <c r="B224" s="1" t="n">
        <v>45329</v>
      </c>
      <c r="C224" s="1" t="n">
        <v>45840</v>
      </c>
      <c r="D224" t="inlineStr">
        <is>
          <t>SKÅNE LÄN</t>
        </is>
      </c>
      <c r="E224" t="inlineStr">
        <is>
          <t>HÖRBY</t>
        </is>
      </c>
      <c r="G224" t="n">
        <v>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5163-2024</t>
        </is>
      </c>
      <c r="B225" s="1" t="n">
        <v>45330</v>
      </c>
      <c r="C225" s="1" t="n">
        <v>45840</v>
      </c>
      <c r="D225" t="inlineStr">
        <is>
          <t>SKÅNE LÄN</t>
        </is>
      </c>
      <c r="E225" t="inlineStr">
        <is>
          <t>HÖRBY</t>
        </is>
      </c>
      <c r="F225" t="inlineStr">
        <is>
          <t>Kyrkan</t>
        </is>
      </c>
      <c r="G225" t="n">
        <v>7.1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5619-2024</t>
        </is>
      </c>
      <c r="B226" s="1" t="n">
        <v>45334</v>
      </c>
      <c r="C226" s="1" t="n">
        <v>45840</v>
      </c>
      <c r="D226" t="inlineStr">
        <is>
          <t>SKÅNE LÄN</t>
        </is>
      </c>
      <c r="E226" t="inlineStr">
        <is>
          <t>HÖRBY</t>
        </is>
      </c>
      <c r="G226" t="n">
        <v>4.6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6534-2024</t>
        </is>
      </c>
      <c r="B227" s="1" t="n">
        <v>45341</v>
      </c>
      <c r="C227" s="1" t="n">
        <v>45840</v>
      </c>
      <c r="D227" t="inlineStr">
        <is>
          <t>SKÅNE LÄN</t>
        </is>
      </c>
      <c r="E227" t="inlineStr">
        <is>
          <t>HÖRBY</t>
        </is>
      </c>
      <c r="F227" t="inlineStr">
        <is>
          <t>Sveaskog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6533-2024</t>
        </is>
      </c>
      <c r="B228" s="1" t="n">
        <v>45341</v>
      </c>
      <c r="C228" s="1" t="n">
        <v>45840</v>
      </c>
      <c r="D228" t="inlineStr">
        <is>
          <t>SKÅNE LÄN</t>
        </is>
      </c>
      <c r="E228" t="inlineStr">
        <is>
          <t>HÖRBY</t>
        </is>
      </c>
      <c r="F228" t="inlineStr">
        <is>
          <t>Sveaskog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6531-2024</t>
        </is>
      </c>
      <c r="B229" s="1" t="n">
        <v>45341</v>
      </c>
      <c r="C229" s="1" t="n">
        <v>45840</v>
      </c>
      <c r="D229" t="inlineStr">
        <is>
          <t>SKÅNE LÄN</t>
        </is>
      </c>
      <c r="E229" t="inlineStr">
        <is>
          <t>HÖRBY</t>
        </is>
      </c>
      <c r="F229" t="inlineStr">
        <is>
          <t>Sveaskog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6886-2024</t>
        </is>
      </c>
      <c r="B230" s="1" t="n">
        <v>45342</v>
      </c>
      <c r="C230" s="1" t="n">
        <v>45840</v>
      </c>
      <c r="D230" t="inlineStr">
        <is>
          <t>SKÅNE LÄN</t>
        </is>
      </c>
      <c r="E230" t="inlineStr">
        <is>
          <t>HÖRBY</t>
        </is>
      </c>
      <c r="F230" t="inlineStr">
        <is>
          <t>Sveaskog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9974-2024</t>
        </is>
      </c>
      <c r="B231" s="1" t="n">
        <v>45363</v>
      </c>
      <c r="C231" s="1" t="n">
        <v>45840</v>
      </c>
      <c r="D231" t="inlineStr">
        <is>
          <t>SKÅNE LÄN</t>
        </is>
      </c>
      <c r="E231" t="inlineStr">
        <is>
          <t>HÖRBY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13225-2024</t>
        </is>
      </c>
      <c r="B232" s="1" t="n">
        <v>45386</v>
      </c>
      <c r="C232" s="1" t="n">
        <v>45840</v>
      </c>
      <c r="D232" t="inlineStr">
        <is>
          <t>SKÅNE LÄN</t>
        </is>
      </c>
      <c r="E232" t="inlineStr">
        <is>
          <t>HÖRBY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13226-2024</t>
        </is>
      </c>
      <c r="B233" s="1" t="n">
        <v>45386</v>
      </c>
      <c r="C233" s="1" t="n">
        <v>45840</v>
      </c>
      <c r="D233" t="inlineStr">
        <is>
          <t>SKÅNE LÄN</t>
        </is>
      </c>
      <c r="E233" t="inlineStr">
        <is>
          <t>HÖRBY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13228-2024</t>
        </is>
      </c>
      <c r="B234" s="1" t="n">
        <v>45386</v>
      </c>
      <c r="C234" s="1" t="n">
        <v>45840</v>
      </c>
      <c r="D234" t="inlineStr">
        <is>
          <t>SKÅNE LÄN</t>
        </is>
      </c>
      <c r="E234" t="inlineStr">
        <is>
          <t>HÖRBY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13633-2024</t>
        </is>
      </c>
      <c r="B235" s="1" t="n">
        <v>45390</v>
      </c>
      <c r="C235" s="1" t="n">
        <v>45840</v>
      </c>
      <c r="D235" t="inlineStr">
        <is>
          <t>SKÅNE LÄN</t>
        </is>
      </c>
      <c r="E235" t="inlineStr">
        <is>
          <t>HÖRBY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13804-2024</t>
        </is>
      </c>
      <c r="B236" s="1" t="n">
        <v>45391</v>
      </c>
      <c r="C236" s="1" t="n">
        <v>45840</v>
      </c>
      <c r="D236" t="inlineStr">
        <is>
          <t>SKÅNE LÄN</t>
        </is>
      </c>
      <c r="E236" t="inlineStr">
        <is>
          <t>HÖRBY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13775-2024</t>
        </is>
      </c>
      <c r="B237" s="1" t="n">
        <v>45391</v>
      </c>
      <c r="C237" s="1" t="n">
        <v>45840</v>
      </c>
      <c r="D237" t="inlineStr">
        <is>
          <t>SKÅNE LÄN</t>
        </is>
      </c>
      <c r="E237" t="inlineStr">
        <is>
          <t>HÖRBY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15769-2024</t>
        </is>
      </c>
      <c r="B238" s="1" t="n">
        <v>45404</v>
      </c>
      <c r="C238" s="1" t="n">
        <v>45840</v>
      </c>
      <c r="D238" t="inlineStr">
        <is>
          <t>SKÅNE LÄN</t>
        </is>
      </c>
      <c r="E238" t="inlineStr">
        <is>
          <t>HÖRBY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16001-2024</t>
        </is>
      </c>
      <c r="B239" s="1" t="n">
        <v>45405</v>
      </c>
      <c r="C239" s="1" t="n">
        <v>45840</v>
      </c>
      <c r="D239" t="inlineStr">
        <is>
          <t>SKÅNE LÄN</t>
        </is>
      </c>
      <c r="E239" t="inlineStr">
        <is>
          <t>HÖRBY</t>
        </is>
      </c>
      <c r="G239" t="n">
        <v>0.2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15900-2024</t>
        </is>
      </c>
      <c r="B240" s="1" t="n">
        <v>45405</v>
      </c>
      <c r="C240" s="1" t="n">
        <v>45840</v>
      </c>
      <c r="D240" t="inlineStr">
        <is>
          <t>SKÅNE LÄN</t>
        </is>
      </c>
      <c r="E240" t="inlineStr">
        <is>
          <t>HÖRBY</t>
        </is>
      </c>
      <c r="F240" t="inlineStr">
        <is>
          <t>Övriga statliga verk och myndigheter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15998-2024</t>
        </is>
      </c>
      <c r="B241" s="1" t="n">
        <v>45405</v>
      </c>
      <c r="C241" s="1" t="n">
        <v>45840</v>
      </c>
      <c r="D241" t="inlineStr">
        <is>
          <t>SKÅNE LÄN</t>
        </is>
      </c>
      <c r="E241" t="inlineStr">
        <is>
          <t>HÖRBY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15970-2024</t>
        </is>
      </c>
      <c r="B242" s="1" t="n">
        <v>45405</v>
      </c>
      <c r="C242" s="1" t="n">
        <v>45840</v>
      </c>
      <c r="D242" t="inlineStr">
        <is>
          <t>SKÅNE LÄN</t>
        </is>
      </c>
      <c r="E242" t="inlineStr">
        <is>
          <t>HÖRBY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18033-2024</t>
        </is>
      </c>
      <c r="B243" s="1" t="n">
        <v>45420</v>
      </c>
      <c r="C243" s="1" t="n">
        <v>45840</v>
      </c>
      <c r="D243" t="inlineStr">
        <is>
          <t>SKÅNE LÄN</t>
        </is>
      </c>
      <c r="E243" t="inlineStr">
        <is>
          <t>HÖRBY</t>
        </is>
      </c>
      <c r="G243" t="n">
        <v>3.6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18206-2024</t>
        </is>
      </c>
      <c r="B244" s="1" t="n">
        <v>45420</v>
      </c>
      <c r="C244" s="1" t="n">
        <v>45840</v>
      </c>
      <c r="D244" t="inlineStr">
        <is>
          <t>SKÅNE LÄN</t>
        </is>
      </c>
      <c r="E244" t="inlineStr">
        <is>
          <t>HÖRBY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18035-2024</t>
        </is>
      </c>
      <c r="B245" s="1" t="n">
        <v>45420</v>
      </c>
      <c r="C245" s="1" t="n">
        <v>45840</v>
      </c>
      <c r="D245" t="inlineStr">
        <is>
          <t>SKÅNE LÄN</t>
        </is>
      </c>
      <c r="E245" t="inlineStr">
        <is>
          <t>HÖRBY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18038-2024</t>
        </is>
      </c>
      <c r="B246" s="1" t="n">
        <v>45420</v>
      </c>
      <c r="C246" s="1" t="n">
        <v>45840</v>
      </c>
      <c r="D246" t="inlineStr">
        <is>
          <t>SKÅNE LÄN</t>
        </is>
      </c>
      <c r="E246" t="inlineStr">
        <is>
          <t>HÖRBY</t>
        </is>
      </c>
      <c r="G246" t="n">
        <v>13.9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20176-2024</t>
        </is>
      </c>
      <c r="B247" s="1" t="n">
        <v>45434</v>
      </c>
      <c r="C247" s="1" t="n">
        <v>45840</v>
      </c>
      <c r="D247" t="inlineStr">
        <is>
          <t>SKÅNE LÄN</t>
        </is>
      </c>
      <c r="E247" t="inlineStr">
        <is>
          <t>HÖRBY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20392-2024</t>
        </is>
      </c>
      <c r="B248" s="1" t="n">
        <v>45435</v>
      </c>
      <c r="C248" s="1" t="n">
        <v>45840</v>
      </c>
      <c r="D248" t="inlineStr">
        <is>
          <t>SKÅNE LÄN</t>
        </is>
      </c>
      <c r="E248" t="inlineStr">
        <is>
          <t>HÖRBY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20396-2024</t>
        </is>
      </c>
      <c r="B249" s="1" t="n">
        <v>45435</v>
      </c>
      <c r="C249" s="1" t="n">
        <v>45840</v>
      </c>
      <c r="D249" t="inlineStr">
        <is>
          <t>SKÅNE LÄN</t>
        </is>
      </c>
      <c r="E249" t="inlineStr">
        <is>
          <t>HÖRBY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20395-2024</t>
        </is>
      </c>
      <c r="B250" s="1" t="n">
        <v>45435</v>
      </c>
      <c r="C250" s="1" t="n">
        <v>45840</v>
      </c>
      <c r="D250" t="inlineStr">
        <is>
          <t>SKÅNE LÄN</t>
        </is>
      </c>
      <c r="E250" t="inlineStr">
        <is>
          <t>HÖRBY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20403-2024</t>
        </is>
      </c>
      <c r="B251" s="1" t="n">
        <v>45435</v>
      </c>
      <c r="C251" s="1" t="n">
        <v>45840</v>
      </c>
      <c r="D251" t="inlineStr">
        <is>
          <t>SKÅNE LÄN</t>
        </is>
      </c>
      <c r="E251" t="inlineStr">
        <is>
          <t>HÖRBY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20595-2024</t>
        </is>
      </c>
      <c r="B252" s="1" t="n">
        <v>45436</v>
      </c>
      <c r="C252" s="1" t="n">
        <v>45840</v>
      </c>
      <c r="D252" t="inlineStr">
        <is>
          <t>SKÅNE LÄN</t>
        </is>
      </c>
      <c r="E252" t="inlineStr">
        <is>
          <t>HÖRBY</t>
        </is>
      </c>
      <c r="F252" t="inlineStr">
        <is>
          <t>Sveaskog</t>
        </is>
      </c>
      <c r="G252" t="n">
        <v>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21626-2024</t>
        </is>
      </c>
      <c r="B253" s="1" t="n">
        <v>45442</v>
      </c>
      <c r="C253" s="1" t="n">
        <v>45840</v>
      </c>
      <c r="D253" t="inlineStr">
        <is>
          <t>SKÅNE LÄN</t>
        </is>
      </c>
      <c r="E253" t="inlineStr">
        <is>
          <t>HÖRBY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23117-2024</t>
        </is>
      </c>
      <c r="B254" s="1" t="n">
        <v>45450</v>
      </c>
      <c r="C254" s="1" t="n">
        <v>45840</v>
      </c>
      <c r="D254" t="inlineStr">
        <is>
          <t>SKÅNE LÄN</t>
        </is>
      </c>
      <c r="E254" t="inlineStr">
        <is>
          <t>HÖRBY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23125-2024</t>
        </is>
      </c>
      <c r="B255" s="1" t="n">
        <v>45450</v>
      </c>
      <c r="C255" s="1" t="n">
        <v>45840</v>
      </c>
      <c r="D255" t="inlineStr">
        <is>
          <t>SKÅNE LÄN</t>
        </is>
      </c>
      <c r="E255" t="inlineStr">
        <is>
          <t>HÖRBY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23120-2024</t>
        </is>
      </c>
      <c r="B256" s="1" t="n">
        <v>45450</v>
      </c>
      <c r="C256" s="1" t="n">
        <v>45840</v>
      </c>
      <c r="D256" t="inlineStr">
        <is>
          <t>SKÅNE LÄN</t>
        </is>
      </c>
      <c r="E256" t="inlineStr">
        <is>
          <t>HÖRBY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24724-2024</t>
        </is>
      </c>
      <c r="B257" s="1" t="n">
        <v>45460</v>
      </c>
      <c r="C257" s="1" t="n">
        <v>45840</v>
      </c>
      <c r="D257" t="inlineStr">
        <is>
          <t>SKÅNE LÄN</t>
        </is>
      </c>
      <c r="E257" t="inlineStr">
        <is>
          <t>HÖRBY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24732-2024</t>
        </is>
      </c>
      <c r="B258" s="1" t="n">
        <v>45460</v>
      </c>
      <c r="C258" s="1" t="n">
        <v>45840</v>
      </c>
      <c r="D258" t="inlineStr">
        <is>
          <t>SKÅNE LÄN</t>
        </is>
      </c>
      <c r="E258" t="inlineStr">
        <is>
          <t>HÖRBY</t>
        </is>
      </c>
      <c r="G258" t="n">
        <v>5.6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24675-2024</t>
        </is>
      </c>
      <c r="B259" s="1" t="n">
        <v>45460</v>
      </c>
      <c r="C259" s="1" t="n">
        <v>45840</v>
      </c>
      <c r="D259" t="inlineStr">
        <is>
          <t>SKÅNE LÄN</t>
        </is>
      </c>
      <c r="E259" t="inlineStr">
        <is>
          <t>HÖRBY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24687-2024</t>
        </is>
      </c>
      <c r="B260" s="1" t="n">
        <v>45460</v>
      </c>
      <c r="C260" s="1" t="n">
        <v>45840</v>
      </c>
      <c r="D260" t="inlineStr">
        <is>
          <t>SKÅNE LÄN</t>
        </is>
      </c>
      <c r="E260" t="inlineStr">
        <is>
          <t>HÖRBY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24670-2024</t>
        </is>
      </c>
      <c r="B261" s="1" t="n">
        <v>45460</v>
      </c>
      <c r="C261" s="1" t="n">
        <v>45840</v>
      </c>
      <c r="D261" t="inlineStr">
        <is>
          <t>SKÅNE LÄN</t>
        </is>
      </c>
      <c r="E261" t="inlineStr">
        <is>
          <t>HÖRBY</t>
        </is>
      </c>
      <c r="G261" t="n">
        <v>0.2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25833-2024</t>
        </is>
      </c>
      <c r="B262" s="1" t="n">
        <v>45463</v>
      </c>
      <c r="C262" s="1" t="n">
        <v>45840</v>
      </c>
      <c r="D262" t="inlineStr">
        <is>
          <t>SKÅNE LÄN</t>
        </is>
      </c>
      <c r="E262" t="inlineStr">
        <is>
          <t>HÖRBY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28436-2024</t>
        </is>
      </c>
      <c r="B263" s="1" t="n">
        <v>45477</v>
      </c>
      <c r="C263" s="1" t="n">
        <v>45840</v>
      </c>
      <c r="D263" t="inlineStr">
        <is>
          <t>SKÅNE LÄN</t>
        </is>
      </c>
      <c r="E263" t="inlineStr">
        <is>
          <t>HÖRBY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28746-2024</t>
        </is>
      </c>
      <c r="B264" s="1" t="n">
        <v>45478</v>
      </c>
      <c r="C264" s="1" t="n">
        <v>45840</v>
      </c>
      <c r="D264" t="inlineStr">
        <is>
          <t>SKÅNE LÄN</t>
        </is>
      </c>
      <c r="E264" t="inlineStr">
        <is>
          <t>HÖRBY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30223-2024</t>
        </is>
      </c>
      <c r="B265" s="1" t="n">
        <v>45490</v>
      </c>
      <c r="C265" s="1" t="n">
        <v>45840</v>
      </c>
      <c r="D265" t="inlineStr">
        <is>
          <t>SKÅNE LÄN</t>
        </is>
      </c>
      <c r="E265" t="inlineStr">
        <is>
          <t>HÖRBY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31115-2024</t>
        </is>
      </c>
      <c r="B266" s="1" t="n">
        <v>45502</v>
      </c>
      <c r="C266" s="1" t="n">
        <v>45840</v>
      </c>
      <c r="D266" t="inlineStr">
        <is>
          <t>SKÅNE LÄN</t>
        </is>
      </c>
      <c r="E266" t="inlineStr">
        <is>
          <t>HÖRBY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31114-2024</t>
        </is>
      </c>
      <c r="B267" s="1" t="n">
        <v>45502</v>
      </c>
      <c r="C267" s="1" t="n">
        <v>45840</v>
      </c>
      <c r="D267" t="inlineStr">
        <is>
          <t>SKÅNE LÄN</t>
        </is>
      </c>
      <c r="E267" t="inlineStr">
        <is>
          <t>HÖRBY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31110-2024</t>
        </is>
      </c>
      <c r="B268" s="1" t="n">
        <v>45502</v>
      </c>
      <c r="C268" s="1" t="n">
        <v>45840</v>
      </c>
      <c r="D268" t="inlineStr">
        <is>
          <t>SKÅNE LÄN</t>
        </is>
      </c>
      <c r="E268" t="inlineStr">
        <is>
          <t>HÖRBY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33873-2024</t>
        </is>
      </c>
      <c r="B269" s="1" t="n">
        <v>45521</v>
      </c>
      <c r="C269" s="1" t="n">
        <v>45840</v>
      </c>
      <c r="D269" t="inlineStr">
        <is>
          <t>SKÅNE LÄN</t>
        </is>
      </c>
      <c r="E269" t="inlineStr">
        <is>
          <t>HÖRBY</t>
        </is>
      </c>
      <c r="G269" t="n">
        <v>3.5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34422-2024</t>
        </is>
      </c>
      <c r="B270" s="1" t="n">
        <v>45525</v>
      </c>
      <c r="C270" s="1" t="n">
        <v>45840</v>
      </c>
      <c r="D270" t="inlineStr">
        <is>
          <t>SKÅNE LÄN</t>
        </is>
      </c>
      <c r="E270" t="inlineStr">
        <is>
          <t>HÖRBY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36427-2024</t>
        </is>
      </c>
      <c r="B271" s="1" t="n">
        <v>45536</v>
      </c>
      <c r="C271" s="1" t="n">
        <v>45840</v>
      </c>
      <c r="D271" t="inlineStr">
        <is>
          <t>SKÅNE LÄN</t>
        </is>
      </c>
      <c r="E271" t="inlineStr">
        <is>
          <t>HÖRBY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36689-2024</t>
        </is>
      </c>
      <c r="B272" s="1" t="n">
        <v>45537</v>
      </c>
      <c r="C272" s="1" t="n">
        <v>45840</v>
      </c>
      <c r="D272" t="inlineStr">
        <is>
          <t>SKÅNE LÄN</t>
        </is>
      </c>
      <c r="E272" t="inlineStr">
        <is>
          <t>HÖRBY</t>
        </is>
      </c>
      <c r="F272" t="inlineStr">
        <is>
          <t>Sveaskog</t>
        </is>
      </c>
      <c r="G272" t="n">
        <v>9.5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36840-2024</t>
        </is>
      </c>
      <c r="B273" s="1" t="n">
        <v>45538</v>
      </c>
      <c r="C273" s="1" t="n">
        <v>45840</v>
      </c>
      <c r="D273" t="inlineStr">
        <is>
          <t>SKÅNE LÄN</t>
        </is>
      </c>
      <c r="E273" t="inlineStr">
        <is>
          <t>HÖRBY</t>
        </is>
      </c>
      <c r="F273" t="inlineStr">
        <is>
          <t>Sveaskog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37276-2024</t>
        </is>
      </c>
      <c r="B274" s="1" t="n">
        <v>45540</v>
      </c>
      <c r="C274" s="1" t="n">
        <v>45840</v>
      </c>
      <c r="D274" t="inlineStr">
        <is>
          <t>SKÅNE LÄN</t>
        </is>
      </c>
      <c r="E274" t="inlineStr">
        <is>
          <t>HÖRBY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37756-2024</t>
        </is>
      </c>
      <c r="B275" s="1" t="n">
        <v>45541</v>
      </c>
      <c r="C275" s="1" t="n">
        <v>45840</v>
      </c>
      <c r="D275" t="inlineStr">
        <is>
          <t>SKÅNE LÄN</t>
        </is>
      </c>
      <c r="E275" t="inlineStr">
        <is>
          <t>HÖRBY</t>
        </is>
      </c>
      <c r="G275" t="n">
        <v>3.2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37757-2024</t>
        </is>
      </c>
      <c r="B276" s="1" t="n">
        <v>45541</v>
      </c>
      <c r="C276" s="1" t="n">
        <v>45840</v>
      </c>
      <c r="D276" t="inlineStr">
        <is>
          <t>SKÅNE LÄN</t>
        </is>
      </c>
      <c r="E276" t="inlineStr">
        <is>
          <t>HÖRBY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38077-2024</t>
        </is>
      </c>
      <c r="B277" s="1" t="n">
        <v>45545</v>
      </c>
      <c r="C277" s="1" t="n">
        <v>45840</v>
      </c>
      <c r="D277" t="inlineStr">
        <is>
          <t>SKÅNE LÄN</t>
        </is>
      </c>
      <c r="E277" t="inlineStr">
        <is>
          <t>HÖRBY</t>
        </is>
      </c>
      <c r="G277" t="n">
        <v>5.9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38080-2024</t>
        </is>
      </c>
      <c r="B278" s="1" t="n">
        <v>45545</v>
      </c>
      <c r="C278" s="1" t="n">
        <v>45840</v>
      </c>
      <c r="D278" t="inlineStr">
        <is>
          <t>SKÅNE LÄN</t>
        </is>
      </c>
      <c r="E278" t="inlineStr">
        <is>
          <t>HÖRBY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38084-2024</t>
        </is>
      </c>
      <c r="B279" s="1" t="n">
        <v>45545</v>
      </c>
      <c r="C279" s="1" t="n">
        <v>45840</v>
      </c>
      <c r="D279" t="inlineStr">
        <is>
          <t>SKÅNE LÄN</t>
        </is>
      </c>
      <c r="E279" t="inlineStr">
        <is>
          <t>HÖRBY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38078-2024</t>
        </is>
      </c>
      <c r="B280" s="1" t="n">
        <v>45545</v>
      </c>
      <c r="C280" s="1" t="n">
        <v>45840</v>
      </c>
      <c r="D280" t="inlineStr">
        <is>
          <t>SKÅNE LÄN</t>
        </is>
      </c>
      <c r="E280" t="inlineStr">
        <is>
          <t>HÖRBY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39497-2024</t>
        </is>
      </c>
      <c r="B281" s="1" t="n">
        <v>45551</v>
      </c>
      <c r="C281" s="1" t="n">
        <v>45840</v>
      </c>
      <c r="D281" t="inlineStr">
        <is>
          <t>SKÅNE LÄN</t>
        </is>
      </c>
      <c r="E281" t="inlineStr">
        <is>
          <t>HÖRBY</t>
        </is>
      </c>
      <c r="F281" t="inlineStr">
        <is>
          <t>Sveaskog</t>
        </is>
      </c>
      <c r="G281" t="n">
        <v>5.1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39507-2024</t>
        </is>
      </c>
      <c r="B282" s="1" t="n">
        <v>45551</v>
      </c>
      <c r="C282" s="1" t="n">
        <v>45840</v>
      </c>
      <c r="D282" t="inlineStr">
        <is>
          <t>SKÅNE LÄN</t>
        </is>
      </c>
      <c r="E282" t="inlineStr">
        <is>
          <t>HÖRBY</t>
        </is>
      </c>
      <c r="F282" t="inlineStr">
        <is>
          <t>Sveaskog</t>
        </is>
      </c>
      <c r="G282" t="n">
        <v>0.3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39618-2024</t>
        </is>
      </c>
      <c r="B283" s="1" t="n">
        <v>45552</v>
      </c>
      <c r="C283" s="1" t="n">
        <v>45840</v>
      </c>
      <c r="D283" t="inlineStr">
        <is>
          <t>SKÅNE LÄN</t>
        </is>
      </c>
      <c r="E283" t="inlineStr">
        <is>
          <t>HÖRBY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43711-2024</t>
        </is>
      </c>
      <c r="B284" s="1" t="n">
        <v>45569</v>
      </c>
      <c r="C284" s="1" t="n">
        <v>45840</v>
      </c>
      <c r="D284" t="inlineStr">
        <is>
          <t>SKÅNE LÄN</t>
        </is>
      </c>
      <c r="E284" t="inlineStr">
        <is>
          <t>HÖRBY</t>
        </is>
      </c>
      <c r="G284" t="n">
        <v>3.4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43828-2024</t>
        </is>
      </c>
      <c r="B285" s="1" t="n">
        <v>45572</v>
      </c>
      <c r="C285" s="1" t="n">
        <v>45840</v>
      </c>
      <c r="D285" t="inlineStr">
        <is>
          <t>SKÅNE LÄN</t>
        </is>
      </c>
      <c r="E285" t="inlineStr">
        <is>
          <t>HÖRBY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44135-2024</t>
        </is>
      </c>
      <c r="B286" s="1" t="n">
        <v>45572</v>
      </c>
      <c r="C286" s="1" t="n">
        <v>45840</v>
      </c>
      <c r="D286" t="inlineStr">
        <is>
          <t>SKÅNE LÄN</t>
        </is>
      </c>
      <c r="E286" t="inlineStr">
        <is>
          <t>HÖRBY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44073-2024</t>
        </is>
      </c>
      <c r="B287" s="1" t="n">
        <v>45572</v>
      </c>
      <c r="C287" s="1" t="n">
        <v>45840</v>
      </c>
      <c r="D287" t="inlineStr">
        <is>
          <t>SKÅNE LÄN</t>
        </is>
      </c>
      <c r="E287" t="inlineStr">
        <is>
          <t>HÖRBY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48169-2024</t>
        </is>
      </c>
      <c r="B288" s="1" t="n">
        <v>45589</v>
      </c>
      <c r="C288" s="1" t="n">
        <v>45840</v>
      </c>
      <c r="D288" t="inlineStr">
        <is>
          <t>SKÅNE LÄN</t>
        </is>
      </c>
      <c r="E288" t="inlineStr">
        <is>
          <t>HÖRBY</t>
        </is>
      </c>
      <c r="G288" t="n">
        <v>13.7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50715-2024</t>
        </is>
      </c>
      <c r="B289" s="1" t="n">
        <v>45602</v>
      </c>
      <c r="C289" s="1" t="n">
        <v>45840</v>
      </c>
      <c r="D289" t="inlineStr">
        <is>
          <t>SKÅNE LÄN</t>
        </is>
      </c>
      <c r="E289" t="inlineStr">
        <is>
          <t>HÖRBY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54193-2024</t>
        </is>
      </c>
      <c r="B290" s="1" t="n">
        <v>45616</v>
      </c>
      <c r="C290" s="1" t="n">
        <v>45840</v>
      </c>
      <c r="D290" t="inlineStr">
        <is>
          <t>SKÅNE LÄN</t>
        </is>
      </c>
      <c r="E290" t="inlineStr">
        <is>
          <t>HÖRBY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54189-2024</t>
        </is>
      </c>
      <c r="B291" s="1" t="n">
        <v>45616</v>
      </c>
      <c r="C291" s="1" t="n">
        <v>45840</v>
      </c>
      <c r="D291" t="inlineStr">
        <is>
          <t>SKÅNE LÄN</t>
        </is>
      </c>
      <c r="E291" t="inlineStr">
        <is>
          <t>HÖRBY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54184-2024</t>
        </is>
      </c>
      <c r="B292" s="1" t="n">
        <v>45616</v>
      </c>
      <c r="C292" s="1" t="n">
        <v>45840</v>
      </c>
      <c r="D292" t="inlineStr">
        <is>
          <t>SKÅNE LÄN</t>
        </is>
      </c>
      <c r="E292" t="inlineStr">
        <is>
          <t>HÖRBY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56060-2024</t>
        </is>
      </c>
      <c r="B293" s="1" t="n">
        <v>45624</v>
      </c>
      <c r="C293" s="1" t="n">
        <v>45840</v>
      </c>
      <c r="D293" t="inlineStr">
        <is>
          <t>SKÅNE LÄN</t>
        </is>
      </c>
      <c r="E293" t="inlineStr">
        <is>
          <t>HÖRBY</t>
        </is>
      </c>
      <c r="G293" t="n">
        <v>3.2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57572-2024</t>
        </is>
      </c>
      <c r="B294" s="1" t="n">
        <v>45630</v>
      </c>
      <c r="C294" s="1" t="n">
        <v>45840</v>
      </c>
      <c r="D294" t="inlineStr">
        <is>
          <t>SKÅNE LÄN</t>
        </is>
      </c>
      <c r="E294" t="inlineStr">
        <is>
          <t>HÖRBY</t>
        </is>
      </c>
      <c r="G294" t="n">
        <v>5.6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60939-2024</t>
        </is>
      </c>
      <c r="B295" s="1" t="n">
        <v>45645</v>
      </c>
      <c r="C295" s="1" t="n">
        <v>45840</v>
      </c>
      <c r="D295" t="inlineStr">
        <is>
          <t>SKÅNE LÄN</t>
        </is>
      </c>
      <c r="E295" t="inlineStr">
        <is>
          <t>HÖRBY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1863-2025</t>
        </is>
      </c>
      <c r="B296" s="1" t="n">
        <v>45671</v>
      </c>
      <c r="C296" s="1" t="n">
        <v>45840</v>
      </c>
      <c r="D296" t="inlineStr">
        <is>
          <t>SKÅNE LÄN</t>
        </is>
      </c>
      <c r="E296" t="inlineStr">
        <is>
          <t>HÖRBY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2170-2025</t>
        </is>
      </c>
      <c r="B297" s="1" t="n">
        <v>45673</v>
      </c>
      <c r="C297" s="1" t="n">
        <v>45840</v>
      </c>
      <c r="D297" t="inlineStr">
        <is>
          <t>SKÅNE LÄN</t>
        </is>
      </c>
      <c r="E297" t="inlineStr">
        <is>
          <t>HÖRBY</t>
        </is>
      </c>
      <c r="G297" t="n">
        <v>3.6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2780-2025</t>
        </is>
      </c>
      <c r="B298" s="1" t="n">
        <v>45677</v>
      </c>
      <c r="C298" s="1" t="n">
        <v>45840</v>
      </c>
      <c r="D298" t="inlineStr">
        <is>
          <t>SKÅNE LÄN</t>
        </is>
      </c>
      <c r="E298" t="inlineStr">
        <is>
          <t>HÖRBY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2816-2025</t>
        </is>
      </c>
      <c r="B299" s="1" t="n">
        <v>45677</v>
      </c>
      <c r="C299" s="1" t="n">
        <v>45840</v>
      </c>
      <c r="D299" t="inlineStr">
        <is>
          <t>SKÅNE LÄN</t>
        </is>
      </c>
      <c r="E299" t="inlineStr">
        <is>
          <t>HÖRBY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3471-2025</t>
        </is>
      </c>
      <c r="B300" s="1" t="n">
        <v>45680</v>
      </c>
      <c r="C300" s="1" t="n">
        <v>45840</v>
      </c>
      <c r="D300" t="inlineStr">
        <is>
          <t>SKÅNE LÄN</t>
        </is>
      </c>
      <c r="E300" t="inlineStr">
        <is>
          <t>HÖRBY</t>
        </is>
      </c>
      <c r="G300" t="n">
        <v>3.7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3534-2025</t>
        </is>
      </c>
      <c r="B301" s="1" t="n">
        <v>45680</v>
      </c>
      <c r="C301" s="1" t="n">
        <v>45840</v>
      </c>
      <c r="D301" t="inlineStr">
        <is>
          <t>SKÅNE LÄN</t>
        </is>
      </c>
      <c r="E301" t="inlineStr">
        <is>
          <t>HÖRBY</t>
        </is>
      </c>
      <c r="F301" t="inlineStr">
        <is>
          <t>Kyrkan</t>
        </is>
      </c>
      <c r="G301" t="n">
        <v>4.8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3542-2025</t>
        </is>
      </c>
      <c r="B302" s="1" t="n">
        <v>45680</v>
      </c>
      <c r="C302" s="1" t="n">
        <v>45840</v>
      </c>
      <c r="D302" t="inlineStr">
        <is>
          <t>SKÅNE LÄN</t>
        </is>
      </c>
      <c r="E302" t="inlineStr">
        <is>
          <t>HÖRBY</t>
        </is>
      </c>
      <c r="F302" t="inlineStr">
        <is>
          <t>Kyrkan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3591-2025</t>
        </is>
      </c>
      <c r="B303" s="1" t="n">
        <v>45681</v>
      </c>
      <c r="C303" s="1" t="n">
        <v>45840</v>
      </c>
      <c r="D303" t="inlineStr">
        <is>
          <t>SKÅNE LÄN</t>
        </is>
      </c>
      <c r="E303" t="inlineStr">
        <is>
          <t>HÖRBY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4555-2025</t>
        </is>
      </c>
      <c r="B304" s="1" t="n">
        <v>45687</v>
      </c>
      <c r="C304" s="1" t="n">
        <v>45840</v>
      </c>
      <c r="D304" t="inlineStr">
        <is>
          <t>SKÅNE LÄN</t>
        </is>
      </c>
      <c r="E304" t="inlineStr">
        <is>
          <t>HÖRBY</t>
        </is>
      </c>
      <c r="F304" t="inlineStr">
        <is>
          <t>Sveaskog</t>
        </is>
      </c>
      <c r="G304" t="n">
        <v>5.7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4756-2025</t>
        </is>
      </c>
      <c r="B305" s="1" t="n">
        <v>45688</v>
      </c>
      <c r="C305" s="1" t="n">
        <v>45840</v>
      </c>
      <c r="D305" t="inlineStr">
        <is>
          <t>SKÅNE LÄN</t>
        </is>
      </c>
      <c r="E305" t="inlineStr">
        <is>
          <t>HÖRBY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6558-2025</t>
        </is>
      </c>
      <c r="B306" s="1" t="n">
        <v>45699</v>
      </c>
      <c r="C306" s="1" t="n">
        <v>45840</v>
      </c>
      <c r="D306" t="inlineStr">
        <is>
          <t>SKÅNE LÄN</t>
        </is>
      </c>
      <c r="E306" t="inlineStr">
        <is>
          <t>HÖRBY</t>
        </is>
      </c>
      <c r="F306" t="inlineStr">
        <is>
          <t>Kommuner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6562-2025</t>
        </is>
      </c>
      <c r="B307" s="1" t="n">
        <v>45699</v>
      </c>
      <c r="C307" s="1" t="n">
        <v>45840</v>
      </c>
      <c r="D307" t="inlineStr">
        <is>
          <t>SKÅNE LÄN</t>
        </is>
      </c>
      <c r="E307" t="inlineStr">
        <is>
          <t>HÖRBY</t>
        </is>
      </c>
      <c r="F307" t="inlineStr">
        <is>
          <t>Kommuner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6591-2025</t>
        </is>
      </c>
      <c r="B308" s="1" t="n">
        <v>45700</v>
      </c>
      <c r="C308" s="1" t="n">
        <v>45840</v>
      </c>
      <c r="D308" t="inlineStr">
        <is>
          <t>SKÅNE LÄN</t>
        </is>
      </c>
      <c r="E308" t="inlineStr">
        <is>
          <t>HÖRBY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7831-2025</t>
        </is>
      </c>
      <c r="B309" s="1" t="n">
        <v>45706</v>
      </c>
      <c r="C309" s="1" t="n">
        <v>45840</v>
      </c>
      <c r="D309" t="inlineStr">
        <is>
          <t>SKÅNE LÄN</t>
        </is>
      </c>
      <c r="E309" t="inlineStr">
        <is>
          <t>HÖRBY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8349-2025</t>
        </is>
      </c>
      <c r="B310" s="1" t="n">
        <v>45708</v>
      </c>
      <c r="C310" s="1" t="n">
        <v>45840</v>
      </c>
      <c r="D310" t="inlineStr">
        <is>
          <t>SKÅNE LÄN</t>
        </is>
      </c>
      <c r="E310" t="inlineStr">
        <is>
          <t>HÖRBY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9071-2025</t>
        </is>
      </c>
      <c r="B311" s="1" t="n">
        <v>45713</v>
      </c>
      <c r="C311" s="1" t="n">
        <v>45840</v>
      </c>
      <c r="D311" t="inlineStr">
        <is>
          <t>SKÅNE LÄN</t>
        </is>
      </c>
      <c r="E311" t="inlineStr">
        <is>
          <t>HÖRBY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9260-2025</t>
        </is>
      </c>
      <c r="B312" s="1" t="n">
        <v>45714</v>
      </c>
      <c r="C312" s="1" t="n">
        <v>45840</v>
      </c>
      <c r="D312" t="inlineStr">
        <is>
          <t>SKÅNE LÄN</t>
        </is>
      </c>
      <c r="E312" t="inlineStr">
        <is>
          <t>HÖRBY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9614-2025</t>
        </is>
      </c>
      <c r="B313" s="1" t="n">
        <v>45715</v>
      </c>
      <c r="C313" s="1" t="n">
        <v>45840</v>
      </c>
      <c r="D313" t="inlineStr">
        <is>
          <t>SKÅNE LÄN</t>
        </is>
      </c>
      <c r="E313" t="inlineStr">
        <is>
          <t>HÖRBY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9612-2025</t>
        </is>
      </c>
      <c r="B314" s="1" t="n">
        <v>45715</v>
      </c>
      <c r="C314" s="1" t="n">
        <v>45840</v>
      </c>
      <c r="D314" t="inlineStr">
        <is>
          <t>SKÅNE LÄN</t>
        </is>
      </c>
      <c r="E314" t="inlineStr">
        <is>
          <t>HÖRBY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10761-2025</t>
        </is>
      </c>
      <c r="B315" s="1" t="n">
        <v>45722</v>
      </c>
      <c r="C315" s="1" t="n">
        <v>45840</v>
      </c>
      <c r="D315" t="inlineStr">
        <is>
          <t>SKÅNE LÄN</t>
        </is>
      </c>
      <c r="E315" t="inlineStr">
        <is>
          <t>HÖRBY</t>
        </is>
      </c>
      <c r="G315" t="n">
        <v>4.7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10760-2025</t>
        </is>
      </c>
      <c r="B316" s="1" t="n">
        <v>45722</v>
      </c>
      <c r="C316" s="1" t="n">
        <v>45840</v>
      </c>
      <c r="D316" t="inlineStr">
        <is>
          <t>SKÅNE LÄN</t>
        </is>
      </c>
      <c r="E316" t="inlineStr">
        <is>
          <t>HÖRBY</t>
        </is>
      </c>
      <c r="G316" t="n">
        <v>6.8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11529-2025</t>
        </is>
      </c>
      <c r="B317" s="1" t="n">
        <v>45727</v>
      </c>
      <c r="C317" s="1" t="n">
        <v>45840</v>
      </c>
      <c r="D317" t="inlineStr">
        <is>
          <t>SKÅNE LÄN</t>
        </is>
      </c>
      <c r="E317" t="inlineStr">
        <is>
          <t>HÖRBY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11816-2025</t>
        </is>
      </c>
      <c r="B318" s="1" t="n">
        <v>45728</v>
      </c>
      <c r="C318" s="1" t="n">
        <v>45840</v>
      </c>
      <c r="D318" t="inlineStr">
        <is>
          <t>SKÅNE LÄN</t>
        </is>
      </c>
      <c r="E318" t="inlineStr">
        <is>
          <t>HÖRBY</t>
        </is>
      </c>
      <c r="F318" t="inlineStr">
        <is>
          <t>Sveaskog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11934-2025</t>
        </is>
      </c>
      <c r="B319" s="1" t="n">
        <v>45728</v>
      </c>
      <c r="C319" s="1" t="n">
        <v>45840</v>
      </c>
      <c r="D319" t="inlineStr">
        <is>
          <t>SKÅNE LÄN</t>
        </is>
      </c>
      <c r="E319" t="inlineStr">
        <is>
          <t>HÖRBY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11941-2025</t>
        </is>
      </c>
      <c r="B320" s="1" t="n">
        <v>45728</v>
      </c>
      <c r="C320" s="1" t="n">
        <v>45840</v>
      </c>
      <c r="D320" t="inlineStr">
        <is>
          <t>SKÅNE LÄN</t>
        </is>
      </c>
      <c r="E320" t="inlineStr">
        <is>
          <t>HÖRBY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11943-2025</t>
        </is>
      </c>
      <c r="B321" s="1" t="n">
        <v>45728</v>
      </c>
      <c r="C321" s="1" t="n">
        <v>45840</v>
      </c>
      <c r="D321" t="inlineStr">
        <is>
          <t>SKÅNE LÄN</t>
        </is>
      </c>
      <c r="E321" t="inlineStr">
        <is>
          <t>HÖRBY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13308-2025</t>
        </is>
      </c>
      <c r="B322" s="1" t="n">
        <v>45735</v>
      </c>
      <c r="C322" s="1" t="n">
        <v>45840</v>
      </c>
      <c r="D322" t="inlineStr">
        <is>
          <t>SKÅNE LÄN</t>
        </is>
      </c>
      <c r="E322" t="inlineStr">
        <is>
          <t>HÖRBY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14734-2025</t>
        </is>
      </c>
      <c r="B323" s="1" t="n">
        <v>45742</v>
      </c>
      <c r="C323" s="1" t="n">
        <v>45840</v>
      </c>
      <c r="D323" t="inlineStr">
        <is>
          <t>SKÅNE LÄN</t>
        </is>
      </c>
      <c r="E323" t="inlineStr">
        <is>
          <t>HÖRBY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15631-2025</t>
        </is>
      </c>
      <c r="B324" s="1" t="n">
        <v>45748</v>
      </c>
      <c r="C324" s="1" t="n">
        <v>45840</v>
      </c>
      <c r="D324" t="inlineStr">
        <is>
          <t>SKÅNE LÄN</t>
        </is>
      </c>
      <c r="E324" t="inlineStr">
        <is>
          <t>HÖRBY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16101-2025</t>
        </is>
      </c>
      <c r="B325" s="1" t="n">
        <v>45750</v>
      </c>
      <c r="C325" s="1" t="n">
        <v>45840</v>
      </c>
      <c r="D325" t="inlineStr">
        <is>
          <t>SKÅNE LÄN</t>
        </is>
      </c>
      <c r="E325" t="inlineStr">
        <is>
          <t>HÖRBY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16254-2025</t>
        </is>
      </c>
      <c r="B326" s="1" t="n">
        <v>45750</v>
      </c>
      <c r="C326" s="1" t="n">
        <v>45840</v>
      </c>
      <c r="D326" t="inlineStr">
        <is>
          <t>SKÅNE LÄN</t>
        </is>
      </c>
      <c r="E326" t="inlineStr">
        <is>
          <t>HÖRBY</t>
        </is>
      </c>
      <c r="F326" t="inlineStr">
        <is>
          <t>Sveaskog</t>
        </is>
      </c>
      <c r="G326" t="n">
        <v>3.7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16252-2025</t>
        </is>
      </c>
      <c r="B327" s="1" t="n">
        <v>45750</v>
      </c>
      <c r="C327" s="1" t="n">
        <v>45840</v>
      </c>
      <c r="D327" t="inlineStr">
        <is>
          <t>SKÅNE LÄN</t>
        </is>
      </c>
      <c r="E327" t="inlineStr">
        <is>
          <t>HÖRBY</t>
        </is>
      </c>
      <c r="F327" t="inlineStr">
        <is>
          <t>Sveaskog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16253-2025</t>
        </is>
      </c>
      <c r="B328" s="1" t="n">
        <v>45750</v>
      </c>
      <c r="C328" s="1" t="n">
        <v>45840</v>
      </c>
      <c r="D328" t="inlineStr">
        <is>
          <t>SKÅNE LÄN</t>
        </is>
      </c>
      <c r="E328" t="inlineStr">
        <is>
          <t>HÖRBY</t>
        </is>
      </c>
      <c r="F328" t="inlineStr">
        <is>
          <t>Sveaskog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16665-2025</t>
        </is>
      </c>
      <c r="B329" s="1" t="n">
        <v>45754</v>
      </c>
      <c r="C329" s="1" t="n">
        <v>45840</v>
      </c>
      <c r="D329" t="inlineStr">
        <is>
          <t>SKÅNE LÄN</t>
        </is>
      </c>
      <c r="E329" t="inlineStr">
        <is>
          <t>HÖRBY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18360-2025</t>
        </is>
      </c>
      <c r="B330" s="1" t="n">
        <v>45762</v>
      </c>
      <c r="C330" s="1" t="n">
        <v>45840</v>
      </c>
      <c r="D330" t="inlineStr">
        <is>
          <t>SKÅNE LÄN</t>
        </is>
      </c>
      <c r="E330" t="inlineStr">
        <is>
          <t>HÖRBY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18369-2025</t>
        </is>
      </c>
      <c r="B331" s="1" t="n">
        <v>45762</v>
      </c>
      <c r="C331" s="1" t="n">
        <v>45840</v>
      </c>
      <c r="D331" t="inlineStr">
        <is>
          <t>SKÅNE LÄN</t>
        </is>
      </c>
      <c r="E331" t="inlineStr">
        <is>
          <t>HÖRBY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18596-2025</t>
        </is>
      </c>
      <c r="B332" s="1" t="n">
        <v>45763</v>
      </c>
      <c r="C332" s="1" t="n">
        <v>45840</v>
      </c>
      <c r="D332" t="inlineStr">
        <is>
          <t>SKÅNE LÄN</t>
        </is>
      </c>
      <c r="E332" t="inlineStr">
        <is>
          <t>HÖRBY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18603-2025</t>
        </is>
      </c>
      <c r="B333" s="1" t="n">
        <v>45763</v>
      </c>
      <c r="C333" s="1" t="n">
        <v>45840</v>
      </c>
      <c r="D333" t="inlineStr">
        <is>
          <t>SKÅNE LÄN</t>
        </is>
      </c>
      <c r="E333" t="inlineStr">
        <is>
          <t>HÖRBY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18609-2025</t>
        </is>
      </c>
      <c r="B334" s="1" t="n">
        <v>45763</v>
      </c>
      <c r="C334" s="1" t="n">
        <v>45840</v>
      </c>
      <c r="D334" t="inlineStr">
        <is>
          <t>SKÅNE LÄN</t>
        </is>
      </c>
      <c r="E334" t="inlineStr">
        <is>
          <t>HÖRBY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21719-2025</t>
        </is>
      </c>
      <c r="B335" s="1" t="n">
        <v>45783</v>
      </c>
      <c r="C335" s="1" t="n">
        <v>45840</v>
      </c>
      <c r="D335" t="inlineStr">
        <is>
          <t>SKÅNE LÄN</t>
        </is>
      </c>
      <c r="E335" t="inlineStr">
        <is>
          <t>HÖRBY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21713-2025</t>
        </is>
      </c>
      <c r="B336" s="1" t="n">
        <v>45783</v>
      </c>
      <c r="C336" s="1" t="n">
        <v>45840</v>
      </c>
      <c r="D336" t="inlineStr">
        <is>
          <t>SKÅNE LÄN</t>
        </is>
      </c>
      <c r="E336" t="inlineStr">
        <is>
          <t>HÖRBY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23484-2025</t>
        </is>
      </c>
      <c r="B337" s="1" t="n">
        <v>45792</v>
      </c>
      <c r="C337" s="1" t="n">
        <v>45840</v>
      </c>
      <c r="D337" t="inlineStr">
        <is>
          <t>SKÅNE LÄN</t>
        </is>
      </c>
      <c r="E337" t="inlineStr">
        <is>
          <t>HÖRBY</t>
        </is>
      </c>
      <c r="G337" t="n">
        <v>3.5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25552-2025</t>
        </is>
      </c>
      <c r="B338" s="1" t="n">
        <v>45803</v>
      </c>
      <c r="C338" s="1" t="n">
        <v>45840</v>
      </c>
      <c r="D338" t="inlineStr">
        <is>
          <t>SKÅNE LÄN</t>
        </is>
      </c>
      <c r="E338" t="inlineStr">
        <is>
          <t>HÖRBY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28550-2025</t>
        </is>
      </c>
      <c r="B339" s="1" t="n">
        <v>45818</v>
      </c>
      <c r="C339" s="1" t="n">
        <v>45840</v>
      </c>
      <c r="D339" t="inlineStr">
        <is>
          <t>SKÅNE LÄN</t>
        </is>
      </c>
      <c r="E339" t="inlineStr">
        <is>
          <t>HÖRBY</t>
        </is>
      </c>
      <c r="G339" t="n">
        <v>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29244-2025</t>
        </is>
      </c>
      <c r="B340" s="1" t="n">
        <v>45824</v>
      </c>
      <c r="C340" s="1" t="n">
        <v>45840</v>
      </c>
      <c r="D340" t="inlineStr">
        <is>
          <t>SKÅNE LÄN</t>
        </is>
      </c>
      <c r="E340" t="inlineStr">
        <is>
          <t>HÖRBY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29354-2025</t>
        </is>
      </c>
      <c r="B341" s="1" t="n">
        <v>45824</v>
      </c>
      <c r="C341" s="1" t="n">
        <v>45840</v>
      </c>
      <c r="D341" t="inlineStr">
        <is>
          <t>SKÅNE LÄN</t>
        </is>
      </c>
      <c r="E341" t="inlineStr">
        <is>
          <t>HÖRBY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32524-2025</t>
        </is>
      </c>
      <c r="B342" s="1" t="n">
        <v>45838</v>
      </c>
      <c r="C342" s="1" t="n">
        <v>45840</v>
      </c>
      <c r="D342" t="inlineStr">
        <is>
          <t>SKÅNE LÄN</t>
        </is>
      </c>
      <c r="E342" t="inlineStr">
        <is>
          <t>HÖRBY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32459-2025</t>
        </is>
      </c>
      <c r="B343" s="1" t="n">
        <v>45838</v>
      </c>
      <c r="C343" s="1" t="n">
        <v>45840</v>
      </c>
      <c r="D343" t="inlineStr">
        <is>
          <t>SKÅNE LÄN</t>
        </is>
      </c>
      <c r="E343" t="inlineStr">
        <is>
          <t>HÖRBY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>
      <c r="A344" t="inlineStr">
        <is>
          <t>A 32958-2025</t>
        </is>
      </c>
      <c r="B344" s="1" t="n">
        <v>45839</v>
      </c>
      <c r="C344" s="1" t="n">
        <v>45840</v>
      </c>
      <c r="D344" t="inlineStr">
        <is>
          <t>SKÅNE LÄN</t>
        </is>
      </c>
      <c r="E344" t="inlineStr">
        <is>
          <t>HÖRBY</t>
        </is>
      </c>
      <c r="G344" t="n">
        <v>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2025-07-02T19:46:45Z</dcterms:created>
  <dcterms:modified xmlns:dcterms="http://purl.org/dc/terms/" xmlns:xsi="http://www.w3.org/2001/XMLSchema-instance" xsi:type="dcterms:W3CDTF">2025-07-02T19:46:45Z</dcterms:modified>
</cp:coreProperties>
</file>